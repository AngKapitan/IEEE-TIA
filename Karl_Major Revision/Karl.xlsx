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rsacjp-my.sharepoint.com/personal/mc_90h_3794_s_thers_ac_jp/Documents/"/>
    </mc:Choice>
  </mc:AlternateContent>
  <xr:revisionPtr revIDLastSave="75" documentId="13_ncr:1_{CF81F326-8893-46AA-9101-A265AB102C4F}" xr6:coauthVersionLast="47" xr6:coauthVersionMax="47" xr10:uidLastSave="{BDC8307C-BF8D-4EF4-803B-99C1E8F7EE41}"/>
  <bookViews>
    <workbookView xWindow="-108" yWindow="-108" windowWidth="23256" windowHeight="12456" activeTab="1" xr2:uid="{DB818557-F20C-46F0-AB47-E67D1ECE4559}"/>
  </bookViews>
  <sheets>
    <sheet name="Conventional" sheetId="8" r:id="rId1"/>
    <sheet name="設計例2" sheetId="6" r:id="rId2"/>
    <sheet name="conventional22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C3" i="6"/>
  <c r="C3" i="9"/>
  <c r="B3" i="9"/>
  <c r="M2" i="9"/>
  <c r="H35" i="9"/>
  <c r="J34" i="9"/>
  <c r="H33" i="9"/>
  <c r="H31" i="9"/>
  <c r="K30" i="9"/>
  <c r="H30" i="9"/>
  <c r="K29" i="9"/>
  <c r="H28" i="9" s="1"/>
  <c r="H29" i="9"/>
  <c r="H16" i="9"/>
  <c r="H17" i="9" s="1"/>
  <c r="H13" i="9"/>
  <c r="H8" i="9"/>
  <c r="A3" i="9"/>
  <c r="M2" i="6"/>
  <c r="M32" i="6"/>
  <c r="M33" i="6"/>
  <c r="H16" i="6"/>
  <c r="H31" i="8"/>
  <c r="H33" i="6"/>
  <c r="H44" i="8"/>
  <c r="J34" i="6"/>
  <c r="H28" i="8"/>
  <c r="H26" i="8"/>
  <c r="H27" i="8"/>
  <c r="K30" i="6"/>
  <c r="K29" i="6"/>
  <c r="H28" i="6" s="1"/>
  <c r="H39" i="8"/>
  <c r="H33" i="8"/>
  <c r="H29" i="8"/>
  <c r="H30" i="8" s="1"/>
  <c r="H13" i="8"/>
  <c r="A3" i="8" s="1"/>
  <c r="H10" i="8"/>
  <c r="H5" i="8"/>
  <c r="K2" i="9" l="1"/>
  <c r="H37" i="9"/>
  <c r="B6" i="9"/>
  <c r="B5" i="9"/>
  <c r="H48" i="9"/>
  <c r="H55" i="9" s="1"/>
  <c r="H32" i="9"/>
  <c r="M32" i="9" s="1"/>
  <c r="H46" i="9"/>
  <c r="K33" i="9" s="1"/>
  <c r="H47" i="9"/>
  <c r="H50" i="9" s="1"/>
  <c r="H51" i="9"/>
  <c r="H54" i="9"/>
  <c r="J30" i="8"/>
  <c r="J2" i="8"/>
  <c r="K31" i="8"/>
  <c r="H14" i="8"/>
  <c r="M33" i="9" l="1"/>
  <c r="C6" i="9"/>
  <c r="E6" i="9" s="1"/>
  <c r="C5" i="9"/>
  <c r="D5" i="9" s="1"/>
  <c r="H43" i="9"/>
  <c r="G3" i="9"/>
  <c r="G4" i="9" s="1"/>
  <c r="H3" i="9"/>
  <c r="H41" i="8"/>
  <c r="B3" i="8"/>
  <c r="H35" i="8"/>
  <c r="H45" i="8"/>
  <c r="H46" i="8" s="1"/>
  <c r="C3" i="8"/>
  <c r="E5" i="9" l="1"/>
  <c r="K5" i="9" s="1"/>
  <c r="D6" i="9"/>
  <c r="K6" i="9" s="1"/>
  <c r="H5" i="9"/>
  <c r="H4" i="9"/>
  <c r="H6" i="9"/>
  <c r="H3" i="8"/>
  <c r="G3" i="8"/>
  <c r="G4" i="8" s="1"/>
  <c r="H49" i="8"/>
  <c r="H53" i="8"/>
  <c r="H52" i="8"/>
  <c r="H48" i="8"/>
  <c r="A3" i="6"/>
  <c r="K7" i="9" l="1"/>
  <c r="I4" i="9"/>
  <c r="H7" i="9"/>
  <c r="H4" i="8"/>
  <c r="H17" i="6"/>
  <c r="H35" i="6"/>
  <c r="C6" i="6" s="1"/>
  <c r="H31" i="6"/>
  <c r="H30" i="6"/>
  <c r="H29" i="6"/>
  <c r="H13" i="6"/>
  <c r="H8" i="6"/>
  <c r="B6" i="6" l="1"/>
  <c r="B5" i="6"/>
  <c r="H46" i="6"/>
  <c r="K33" i="6" s="1"/>
  <c r="H32" i="6"/>
  <c r="K2" i="6"/>
  <c r="E6" i="6" l="1"/>
  <c r="C5" i="6"/>
  <c r="D5" i="6" s="1"/>
  <c r="H3" i="6"/>
  <c r="H37" i="6"/>
  <c r="H48" i="6"/>
  <c r="H43" i="6"/>
  <c r="H47" i="6"/>
  <c r="H6" i="6" l="1"/>
  <c r="H5" i="6"/>
  <c r="D6" i="6"/>
  <c r="K6" i="6" s="1"/>
  <c r="E5" i="6"/>
  <c r="K5" i="6" s="1"/>
  <c r="H4" i="6"/>
  <c r="G3" i="6"/>
  <c r="G4" i="6" s="1"/>
  <c r="H55" i="6"/>
  <c r="H51" i="6"/>
  <c r="H50" i="6"/>
  <c r="H54" i="6"/>
  <c r="I4" i="6" l="1"/>
  <c r="H7" i="6"/>
  <c r="K7" i="6"/>
  <c r="I4" i="8"/>
</calcChain>
</file>

<file path=xl/sharedStrings.xml><?xml version="1.0" encoding="utf-8"?>
<sst xmlns="http://schemas.openxmlformats.org/spreadsheetml/2006/main" count="445" uniqueCount="121">
  <si>
    <t>Specification</t>
    <phoneticPr fontId="2"/>
  </si>
  <si>
    <t>Symbol</t>
    <phoneticPr fontId="2"/>
  </si>
  <si>
    <t>Value</t>
    <phoneticPr fontId="2"/>
  </si>
  <si>
    <t>Unit</t>
    <phoneticPr fontId="2"/>
  </si>
  <si>
    <t>■入力特性</t>
    <rPh sb="1" eb="3">
      <t>ニュウリョク</t>
    </rPh>
    <rPh sb="3" eb="5">
      <t>トクセイ</t>
    </rPh>
    <phoneticPr fontId="2"/>
  </si>
  <si>
    <t>Input voltage</t>
    <phoneticPr fontId="2"/>
  </si>
  <si>
    <t>V_AC(min)</t>
    <phoneticPr fontId="2"/>
  </si>
  <si>
    <t>V(RMS)</t>
    <phoneticPr fontId="2"/>
  </si>
  <si>
    <t>V_AC(max)</t>
    <phoneticPr fontId="2"/>
  </si>
  <si>
    <t>AC input frequency</t>
    <phoneticPr fontId="2"/>
  </si>
  <si>
    <t>f_line(min)</t>
    <phoneticPr fontId="2"/>
  </si>
  <si>
    <t>Hz</t>
    <phoneticPr fontId="2"/>
  </si>
  <si>
    <t>f_line(max)</t>
    <phoneticPr fontId="2"/>
  </si>
  <si>
    <t>Power Factor</t>
    <phoneticPr fontId="2"/>
  </si>
  <si>
    <t>PF</t>
    <phoneticPr fontId="2"/>
  </si>
  <si>
    <t>Efficiency</t>
    <phoneticPr fontId="2"/>
  </si>
  <si>
    <t>■出力特性</t>
    <rPh sb="1" eb="3">
      <t>シュツリョク</t>
    </rPh>
    <rPh sb="3" eb="5">
      <t>トクセイ</t>
    </rPh>
    <phoneticPr fontId="2"/>
  </si>
  <si>
    <t>Output voltage</t>
    <phoneticPr fontId="2"/>
  </si>
  <si>
    <t>Vo</t>
    <phoneticPr fontId="2"/>
  </si>
  <si>
    <t>V</t>
    <phoneticPr fontId="2"/>
  </si>
  <si>
    <t>Full-load output power</t>
    <phoneticPr fontId="2"/>
  </si>
  <si>
    <t>Po(max)</t>
    <phoneticPr fontId="2"/>
  </si>
  <si>
    <t>W</t>
    <phoneticPr fontId="2"/>
  </si>
  <si>
    <t>Minimum switching frequency</t>
    <phoneticPr fontId="2"/>
  </si>
  <si>
    <t>fs</t>
    <phoneticPr fontId="2"/>
  </si>
  <si>
    <t>kHz</t>
    <phoneticPr fontId="2"/>
  </si>
  <si>
    <t>Output voltage ripple</t>
    <phoneticPr fontId="2"/>
  </si>
  <si>
    <t>Vo_ripple</t>
    <phoneticPr fontId="2"/>
  </si>
  <si>
    <t>真空の透磁率</t>
    <rPh sb="0" eb="2">
      <t>シンクウ</t>
    </rPh>
    <rPh sb="3" eb="6">
      <t>トウジリツ</t>
    </rPh>
    <phoneticPr fontId="2"/>
  </si>
  <si>
    <t>■トランス設計</t>
    <rPh sb="5" eb="7">
      <t>セッケイ</t>
    </rPh>
    <phoneticPr fontId="2"/>
  </si>
  <si>
    <t>Maximum Vds</t>
    <phoneticPr fontId="2"/>
  </si>
  <si>
    <t>Vds_max</t>
    <phoneticPr fontId="2"/>
  </si>
  <si>
    <t>Turn ratio</t>
    <phoneticPr fontId="2"/>
  </si>
  <si>
    <t>n</t>
    <phoneticPr fontId="2"/>
  </si>
  <si>
    <t>n_select</t>
    <phoneticPr fontId="2"/>
  </si>
  <si>
    <t>以下</t>
    <rPh sb="0" eb="2">
      <t>イカ</t>
    </rPh>
    <phoneticPr fontId="2"/>
  </si>
  <si>
    <t>Maximum Duty Ratio</t>
    <phoneticPr fontId="2"/>
  </si>
  <si>
    <t>Dmax</t>
    <phoneticPr fontId="2"/>
  </si>
  <si>
    <t>Primary windings peak current</t>
    <phoneticPr fontId="2"/>
  </si>
  <si>
    <t>Is_peak</t>
    <phoneticPr fontId="2"/>
  </si>
  <si>
    <t>A</t>
    <phoneticPr fontId="2"/>
  </si>
  <si>
    <t>Magnetic inductance</t>
    <phoneticPr fontId="2"/>
  </si>
  <si>
    <t>Lm</t>
    <phoneticPr fontId="2"/>
  </si>
  <si>
    <t>μH</t>
    <phoneticPr fontId="2"/>
  </si>
  <si>
    <t>N12_min</t>
    <phoneticPr fontId="2"/>
  </si>
  <si>
    <t>N12_select</t>
    <phoneticPr fontId="2"/>
  </si>
  <si>
    <t>Winding diameter</t>
    <phoneticPr fontId="2"/>
  </si>
  <si>
    <t>N56_min</t>
    <phoneticPr fontId="2"/>
  </si>
  <si>
    <t>N34_min</t>
    <phoneticPr fontId="2"/>
  </si>
  <si>
    <t>N34_select</t>
    <phoneticPr fontId="2"/>
  </si>
  <si>
    <t>N56_select</t>
    <phoneticPr fontId="2"/>
  </si>
  <si>
    <t>N78_min</t>
    <phoneticPr fontId="2"/>
  </si>
  <si>
    <t>N78_select</t>
    <phoneticPr fontId="2"/>
  </si>
  <si>
    <t>μr</t>
    <phoneticPr fontId="2"/>
  </si>
  <si>
    <t>Bs_120℃</t>
    <phoneticPr fontId="2"/>
  </si>
  <si>
    <t>Br_120℃</t>
    <phoneticPr fontId="2"/>
  </si>
  <si>
    <t>mm</t>
    <phoneticPr fontId="2"/>
  </si>
  <si>
    <t>mT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</si>
  <si>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</si>
  <si>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</si>
  <si>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</si>
  <si>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</si>
  <si>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</si>
  <si>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lmo</t>
    <phoneticPr fontId="2"/>
  </si>
  <si>
    <t>lmc</t>
    <phoneticPr fontId="2"/>
  </si>
  <si>
    <t>Amo</t>
    <phoneticPr fontId="2"/>
  </si>
  <si>
    <t>Amc</t>
    <phoneticPr fontId="2"/>
  </si>
  <si>
    <t>Awindow</t>
    <phoneticPr fontId="2"/>
  </si>
  <si>
    <t>mm^2</t>
    <phoneticPr fontId="2"/>
  </si>
  <si>
    <t>Ae</t>
    <phoneticPr fontId="2"/>
  </si>
  <si>
    <t>Windings</t>
    <phoneticPr fontId="2"/>
  </si>
  <si>
    <t>Awindow_windings</t>
    <phoneticPr fontId="2"/>
  </si>
  <si>
    <t>以上</t>
    <rPh sb="0" eb="2">
      <t>イジョウ</t>
    </rPh>
    <phoneticPr fontId="2"/>
  </si>
  <si>
    <t>偶数巻き</t>
    <rPh sb="0" eb="2">
      <t>グウスウ</t>
    </rPh>
    <rPh sb="2" eb="3">
      <t>マ</t>
    </rPh>
    <phoneticPr fontId="2"/>
  </si>
  <si>
    <t>Magnetic resistance</t>
    <phoneticPr fontId="2"/>
  </si>
  <si>
    <t>Rmo</t>
    <phoneticPr fontId="2"/>
  </si>
  <si>
    <t>Rmc</t>
    <phoneticPr fontId="2"/>
  </si>
  <si>
    <t>A/Wb</t>
    <phoneticPr fontId="2"/>
  </si>
  <si>
    <t>Gap</t>
    <phoneticPr fontId="2"/>
  </si>
  <si>
    <t>Type2</t>
    <phoneticPr fontId="2"/>
  </si>
  <si>
    <t>lmo_air</t>
    <phoneticPr fontId="2"/>
  </si>
  <si>
    <t>lmc_air</t>
    <phoneticPr fontId="2"/>
  </si>
  <si>
    <t>Type3</t>
    <phoneticPr fontId="2"/>
  </si>
  <si>
    <t>Imo_air</t>
    <phoneticPr fontId="2"/>
  </si>
  <si>
    <t>Imc_air</t>
    <phoneticPr fontId="2"/>
  </si>
  <si>
    <t>エリアプロダクト法</t>
    <rPh sb="8" eb="9">
      <t>ホウ</t>
    </rPh>
    <phoneticPr fontId="2"/>
  </si>
  <si>
    <t>1次側ピーク電流[A]</t>
    <rPh sb="1" eb="3">
      <t>ジガワ</t>
    </rPh>
    <rPh sb="6" eb="8">
      <t>デンリュウ</t>
    </rPh>
    <phoneticPr fontId="2"/>
  </si>
  <si>
    <t>2次側実効電流[A]</t>
    <rPh sb="1" eb="3">
      <t>ジガワ</t>
    </rPh>
    <rPh sb="3" eb="7">
      <t>ジッコウデンリュウ</t>
    </rPh>
    <phoneticPr fontId="2"/>
  </si>
  <si>
    <t>1次側実効電流[A]</t>
    <rPh sb="1" eb="3">
      <t>ジガワ</t>
    </rPh>
    <rPh sb="3" eb="5">
      <t>ジッコウ</t>
    </rPh>
    <rPh sb="5" eb="7">
      <t>デンリュウ</t>
    </rPh>
    <phoneticPr fontId="2"/>
  </si>
  <si>
    <t>Aw*Ae[mm^4]</t>
    <phoneticPr fontId="2"/>
  </si>
  <si>
    <t>電流密度[A/mm^2]</t>
    <rPh sb="0" eb="2">
      <t>デンリュウ</t>
    </rPh>
    <rPh sb="2" eb="4">
      <t>ミツド</t>
    </rPh>
    <phoneticPr fontId="2"/>
  </si>
  <si>
    <t>磁束密度[T]</t>
    <rPh sb="0" eb="4">
      <t>ジソクミツド</t>
    </rPh>
    <phoneticPr fontId="2"/>
  </si>
  <si>
    <t>占積率</t>
    <rPh sb="0" eb="3">
      <t>センセキリツ</t>
    </rPh>
    <phoneticPr fontId="2"/>
  </si>
  <si>
    <t>Core parameter
(OP44721EC)</t>
    <phoneticPr fontId="2"/>
  </si>
  <si>
    <t>L</t>
    <phoneticPr fontId="2"/>
  </si>
  <si>
    <t>M</t>
    <phoneticPr fontId="2"/>
  </si>
  <si>
    <t>y</t>
    <phoneticPr fontId="2"/>
  </si>
  <si>
    <t>Core structure
(OP44721EC)</t>
  </si>
  <si>
    <t>Conventional</t>
  </si>
  <si>
    <t>A</t>
  </si>
  <si>
    <t>B</t>
  </si>
  <si>
    <t>C</t>
  </si>
  <si>
    <t>D</t>
  </si>
  <si>
    <t>E</t>
  </si>
  <si>
    <t>F</t>
  </si>
  <si>
    <t>Volume</t>
  </si>
  <si>
    <t>L</t>
  </si>
  <si>
    <t>M</t>
  </si>
  <si>
    <t>https://www.mag-inc.com/Media/Magnetics/Datasheets/0P43515EC.pdf</t>
  </si>
  <si>
    <t>AP_geometry</t>
  </si>
  <si>
    <t>https://www.mag-inc.com/Media/Magnetics/Datasheets/0P44317EC.pdf</t>
  </si>
  <si>
    <t>Theoretical</t>
  </si>
  <si>
    <t>Ac/Aw</t>
  </si>
  <si>
    <t>Ac</t>
  </si>
  <si>
    <t>Aw</t>
  </si>
  <si>
    <t>Circuit Specifications (conventional)</t>
  </si>
  <si>
    <t>Circuit Specifications (integrated)</t>
  </si>
  <si>
    <t>volume</t>
  </si>
  <si>
    <t>new</t>
  </si>
  <si>
    <t>AP</t>
  </si>
  <si>
    <t>AP_geometry_correct_volume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</si>
</sst>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rgb="FFFF0000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name val="Calibri"/>
      <family val="2"/>
      <charset val="128"/>
      <scheme val="minor"/>
    </font>
    <font>
      <u/>
      <sz val="11"/>
      <color theme="1"/>
      <name val="Calibri"/>
      <family val="2"/>
      <charset val="128"/>
      <scheme val="minor"/>
    </font>
    <font>
      <u/>
      <sz val="11"/>
      <color theme="10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3601</xdr:colOff>
      <xdr:row>10</xdr:row>
      <xdr:rowOff>6639</xdr:rowOff>
    </xdr:from>
    <xdr:to>
      <xdr:col>31</xdr:col>
      <xdr:colOff>182324</xdr:colOff>
      <xdr:row>17</xdr:row>
      <xdr:rowOff>84058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5EDFB2C-282A-42F8-91D5-74DA89A69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40616" y="1818294"/>
          <a:ext cx="3325783" cy="1342339"/>
        </a:xfrm>
        <a:prstGeom prst="rect">
          <a:avLst/>
        </a:prstGeom>
      </xdr:spPr>
    </xdr:pic>
    <xdr:clientData/>
  </xdr:twoCellAnchor>
  <xdr:twoCellAnchor editAs="oneCell">
    <xdr:from>
      <xdr:col>23</xdr:col>
      <xdr:colOff>394783</xdr:colOff>
      <xdr:row>27</xdr:row>
      <xdr:rowOff>19159</xdr:rowOff>
    </xdr:from>
    <xdr:to>
      <xdr:col>28</xdr:col>
      <xdr:colOff>398212</xdr:colOff>
      <xdr:row>38</xdr:row>
      <xdr:rowOff>19602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ED66716-8889-4A0D-A87D-51AE47807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53468" y="4772134"/>
          <a:ext cx="3142869" cy="1991169"/>
        </a:xfrm>
        <a:prstGeom prst="rect">
          <a:avLst/>
        </a:prstGeom>
      </xdr:spPr>
    </xdr:pic>
    <xdr:clientData/>
  </xdr:twoCellAnchor>
  <xdr:twoCellAnchor editAs="oneCell">
    <xdr:from>
      <xdr:col>21</xdr:col>
      <xdr:colOff>364668</xdr:colOff>
      <xdr:row>36</xdr:row>
      <xdr:rowOff>175756</xdr:rowOff>
    </xdr:from>
    <xdr:to>
      <xdr:col>26</xdr:col>
      <xdr:colOff>353289</xdr:colOff>
      <xdr:row>48</xdr:row>
      <xdr:rowOff>19010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62E3CE0-A007-435A-A3F0-BB7F10800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8433" y="6553696"/>
          <a:ext cx="3135681" cy="2018765"/>
        </a:xfrm>
        <a:prstGeom prst="rect">
          <a:avLst/>
        </a:prstGeom>
      </xdr:spPr>
    </xdr:pic>
    <xdr:clientData/>
  </xdr:twoCellAnchor>
  <xdr:twoCellAnchor editAs="oneCell">
    <xdr:from>
      <xdr:col>10</xdr:col>
      <xdr:colOff>348984</xdr:colOff>
      <xdr:row>15</xdr:row>
      <xdr:rowOff>36323</xdr:rowOff>
    </xdr:from>
    <xdr:to>
      <xdr:col>15</xdr:col>
      <xdr:colOff>342244</xdr:colOff>
      <xdr:row>22</xdr:row>
      <xdr:rowOff>57374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3CB82A8-88DF-4CA1-A760-DD93F8A45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8778" y="2725735"/>
          <a:ext cx="3127097" cy="13676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3601</xdr:colOff>
      <xdr:row>13</xdr:row>
      <xdr:rowOff>6639</xdr:rowOff>
    </xdr:from>
    <xdr:to>
      <xdr:col>31</xdr:col>
      <xdr:colOff>180419</xdr:colOff>
      <xdr:row>20</xdr:row>
      <xdr:rowOff>85963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6A28631-BEE0-498D-B1DB-BA982E53F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02244" y="1775568"/>
          <a:ext cx="3308366" cy="1319479"/>
        </a:xfrm>
        <a:prstGeom prst="rect">
          <a:avLst/>
        </a:prstGeom>
      </xdr:spPr>
    </xdr:pic>
    <xdr:clientData/>
  </xdr:twoCellAnchor>
  <xdr:twoCellAnchor editAs="oneCell">
    <xdr:from>
      <xdr:col>23</xdr:col>
      <xdr:colOff>394783</xdr:colOff>
      <xdr:row>29</xdr:row>
      <xdr:rowOff>19159</xdr:rowOff>
    </xdr:from>
    <xdr:to>
      <xdr:col>28</xdr:col>
      <xdr:colOff>398213</xdr:colOff>
      <xdr:row>40</xdr:row>
      <xdr:rowOff>19603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D24EBF5-6CA0-47A7-9867-4331A9D9B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15640" y="4672802"/>
          <a:ext cx="3129262" cy="1950075"/>
        </a:xfrm>
        <a:prstGeom prst="rect">
          <a:avLst/>
        </a:prstGeom>
      </xdr:spPr>
    </xdr:pic>
    <xdr:clientData/>
  </xdr:twoCellAnchor>
  <xdr:twoCellAnchor editAs="oneCell">
    <xdr:from>
      <xdr:col>21</xdr:col>
      <xdr:colOff>364668</xdr:colOff>
      <xdr:row>38</xdr:row>
      <xdr:rowOff>175756</xdr:rowOff>
    </xdr:from>
    <xdr:to>
      <xdr:col>26</xdr:col>
      <xdr:colOff>351384</xdr:colOff>
      <xdr:row>50</xdr:row>
      <xdr:rowOff>19011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D5117B5-2624-4E53-8571-29015DA84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3668" y="6421435"/>
          <a:ext cx="3118264" cy="1962159"/>
        </a:xfrm>
        <a:prstGeom prst="rect">
          <a:avLst/>
        </a:prstGeom>
      </xdr:spPr>
    </xdr:pic>
    <xdr:clientData/>
  </xdr:twoCellAnchor>
  <xdr:twoCellAnchor editAs="oneCell">
    <xdr:from>
      <xdr:col>20</xdr:col>
      <xdr:colOff>317271</xdr:colOff>
      <xdr:row>12</xdr:row>
      <xdr:rowOff>114764</xdr:rowOff>
    </xdr:from>
    <xdr:to>
      <xdr:col>25</xdr:col>
      <xdr:colOff>304816</xdr:colOff>
      <xdr:row>20</xdr:row>
      <xdr:rowOff>46169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FE5BF1A-9E6C-4A76-821D-8BBE90B4B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0342" y="1706800"/>
          <a:ext cx="3120998" cy="13446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3601</xdr:colOff>
      <xdr:row>13</xdr:row>
      <xdr:rowOff>6639</xdr:rowOff>
    </xdr:from>
    <xdr:to>
      <xdr:col>31</xdr:col>
      <xdr:colOff>182324</xdr:colOff>
      <xdr:row>20</xdr:row>
      <xdr:rowOff>84058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BCE031B-DA2C-4A57-9040-900482104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58576" y="2483139"/>
          <a:ext cx="3081943" cy="1403299"/>
        </a:xfrm>
        <a:prstGeom prst="rect">
          <a:avLst/>
        </a:prstGeom>
      </xdr:spPr>
    </xdr:pic>
    <xdr:clientData/>
  </xdr:twoCellAnchor>
  <xdr:twoCellAnchor editAs="oneCell">
    <xdr:from>
      <xdr:col>23</xdr:col>
      <xdr:colOff>394783</xdr:colOff>
      <xdr:row>29</xdr:row>
      <xdr:rowOff>19159</xdr:rowOff>
    </xdr:from>
    <xdr:to>
      <xdr:col>28</xdr:col>
      <xdr:colOff>398213</xdr:colOff>
      <xdr:row>40</xdr:row>
      <xdr:rowOff>19603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DF701BC-3B4B-4A60-B0D5-B53140077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6683" y="5572234"/>
          <a:ext cx="2908555" cy="2095944"/>
        </a:xfrm>
        <a:prstGeom prst="rect">
          <a:avLst/>
        </a:prstGeom>
      </xdr:spPr>
    </xdr:pic>
    <xdr:clientData/>
  </xdr:twoCellAnchor>
  <xdr:twoCellAnchor editAs="oneCell">
    <xdr:from>
      <xdr:col>21</xdr:col>
      <xdr:colOff>364668</xdr:colOff>
      <xdr:row>38</xdr:row>
      <xdr:rowOff>175756</xdr:rowOff>
    </xdr:from>
    <xdr:to>
      <xdr:col>26</xdr:col>
      <xdr:colOff>353289</xdr:colOff>
      <xdr:row>50</xdr:row>
      <xdr:rowOff>19011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F305FFE-31EB-407F-9C97-8A1CF6276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14518" y="7443331"/>
          <a:ext cx="2891841" cy="2129255"/>
        </a:xfrm>
        <a:prstGeom prst="rect">
          <a:avLst/>
        </a:prstGeom>
      </xdr:spPr>
    </xdr:pic>
    <xdr:clientData/>
  </xdr:twoCellAnchor>
  <xdr:twoCellAnchor editAs="oneCell">
    <xdr:from>
      <xdr:col>20</xdr:col>
      <xdr:colOff>317271</xdr:colOff>
      <xdr:row>12</xdr:row>
      <xdr:rowOff>114764</xdr:rowOff>
    </xdr:from>
    <xdr:to>
      <xdr:col>25</xdr:col>
      <xdr:colOff>304816</xdr:colOff>
      <xdr:row>20</xdr:row>
      <xdr:rowOff>48074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6EEE13-E1F2-417C-AF79-E22A03888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6096" y="2400764"/>
          <a:ext cx="2892670" cy="1445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ag-inc.com/Media/Magnetics/Datasheets/0P44317EC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24FD-5D56-463C-8087-A006B404469F}">
  <dimension ref="A1:S59"/>
  <sheetViews>
    <sheetView zoomScale="85" zoomScaleNormal="85" workbookViewId="0">
      <selection activeCell="F4" sqref="F4"/>
    </sheetView>
  </sheetViews>
  <sheetFormatPr defaultColWidth="8.6640625" defaultRowHeight="14.4"/>
  <cols>
    <col min="1" max="1" width="19.6640625" style="1" customWidth="1"/>
    <col min="2" max="3" width="16" style="1" customWidth="1"/>
    <col min="4" max="4" width="16.88671875" style="1" customWidth="1"/>
    <col min="5" max="5" width="14.109375" style="1" customWidth="1"/>
    <col min="6" max="6" width="28.21875" style="1" customWidth="1"/>
    <col min="7" max="7" width="18.21875" style="1" customWidth="1"/>
    <col min="8" max="8" width="13.6640625" style="1" customWidth="1"/>
    <col min="9" max="9" width="10.88671875" style="1" customWidth="1"/>
    <col min="10" max="16384" width="8.6640625" style="1"/>
  </cols>
  <sheetData>
    <row r="1" spans="1:16">
      <c r="A1" s="13" t="s">
        <v>85</v>
      </c>
      <c r="B1" s="13"/>
      <c r="C1" s="13"/>
      <c r="D1" s="13"/>
      <c r="E1" s="13"/>
      <c r="F1" s="13"/>
      <c r="G1" s="13"/>
      <c r="H1" s="1" t="s">
        <v>98</v>
      </c>
      <c r="J1" s="1" t="s">
        <v>109</v>
      </c>
    </row>
    <row r="2" spans="1:16">
      <c r="A2" s="5" t="s">
        <v>86</v>
      </c>
      <c r="B2" s="5" t="s">
        <v>88</v>
      </c>
      <c r="C2" s="5" t="s">
        <v>87</v>
      </c>
      <c r="D2" s="5" t="s">
        <v>90</v>
      </c>
      <c r="E2" s="5" t="s">
        <v>91</v>
      </c>
      <c r="F2" s="5" t="s">
        <v>92</v>
      </c>
      <c r="G2" s="5" t="s">
        <v>89</v>
      </c>
      <c r="J2" s="1">
        <f>H29*H31</f>
        <v>25528.2768</v>
      </c>
    </row>
    <row r="3" spans="1:16">
      <c r="A3" s="5">
        <f>H13</f>
        <v>8.0239067368686232</v>
      </c>
      <c r="B3" s="5">
        <f>C8*SQRT(2)*H12/(H14*0.000001*C16*1000)*SQRT(H12^3/6)</f>
        <v>2.5331929785680889</v>
      </c>
      <c r="C3" s="8">
        <f>C8*SQRT(2)*H12/(H14*0.000001*C16*1000)*SQRT(5*C12*H12^3/(9*PI())*(C8*SQRT(2))/C14)</f>
        <v>6.5825848770835611</v>
      </c>
      <c r="D3" s="5">
        <v>5</v>
      </c>
      <c r="E3" s="6">
        <v>0.3</v>
      </c>
      <c r="F3" s="5">
        <v>0.3</v>
      </c>
      <c r="G3" s="7">
        <f>((H14*10^-6)*A3*2*(B3+(C3/H11))/(E3*(D3*10^6)*F3))*10^12</f>
        <v>13965.34215064517</v>
      </c>
      <c r="H3" s="1">
        <f>((H14*10^-6)*A3*(B3+(C3/H11))/(E3*(D3*10^6)*F3))*10^12</f>
        <v>6982.6710753225852</v>
      </c>
    </row>
    <row r="4" spans="1:16">
      <c r="G4" s="1">
        <f>2*G3^(0.75)*((H29/H31)^0.75+2*(H29/H31)^0.25+(H29/H31)^(-0.25))</f>
        <v>10105.247314312519</v>
      </c>
      <c r="H4" s="1">
        <f>2*2*H3^(0.75)*((H29/H31)^0.75+2*(H29/H31)^0.25+(H29/H31)^(-0.25))</f>
        <v>12017.232005042588</v>
      </c>
      <c r="I4" s="1">
        <f>設計例2!G4/H4</f>
        <v>1.5483909266796601</v>
      </c>
    </row>
    <row r="5" spans="1:16">
      <c r="A5" s="1" t="s">
        <v>0</v>
      </c>
      <c r="B5" s="1" t="s">
        <v>1</v>
      </c>
      <c r="C5" s="1" t="s">
        <v>2</v>
      </c>
      <c r="D5" s="1" t="s">
        <v>3</v>
      </c>
      <c r="F5" s="1" t="s">
        <v>28</v>
      </c>
      <c r="H5" s="1">
        <f>4*PI()*10^-7</f>
        <v>1.2566370614359173E-6</v>
      </c>
      <c r="P5" s="1" t="s">
        <v>108</v>
      </c>
    </row>
    <row r="6" spans="1:16">
      <c r="A6" s="1" t="s">
        <v>4</v>
      </c>
      <c r="M6" s="10" t="s">
        <v>110</v>
      </c>
    </row>
    <row r="7" spans="1:16">
      <c r="A7" s="12" t="s">
        <v>5</v>
      </c>
      <c r="B7" s="1" t="s">
        <v>6</v>
      </c>
      <c r="C7" s="1">
        <v>100</v>
      </c>
      <c r="D7" s="1" t="s">
        <v>7</v>
      </c>
      <c r="F7" s="12" t="s">
        <v>29</v>
      </c>
      <c r="G7" s="12"/>
      <c r="H7" s="12"/>
      <c r="I7" s="12"/>
      <c r="M7"/>
    </row>
    <row r="8" spans="1:16">
      <c r="A8" s="12"/>
      <c r="B8" s="1" t="s">
        <v>8</v>
      </c>
      <c r="C8" s="1">
        <v>240</v>
      </c>
      <c r="D8" s="9" t="s">
        <v>7</v>
      </c>
      <c r="G8" s="1" t="s">
        <v>1</v>
      </c>
      <c r="H8" s="1" t="s">
        <v>2</v>
      </c>
      <c r="I8" s="1" t="s">
        <v>3</v>
      </c>
      <c r="M8"/>
    </row>
    <row r="9" spans="1:16">
      <c r="A9" s="12" t="s">
        <v>9</v>
      </c>
      <c r="B9" s="1" t="s">
        <v>10</v>
      </c>
      <c r="C9" s="1">
        <v>50</v>
      </c>
      <c r="D9" s="1" t="s">
        <v>11</v>
      </c>
      <c r="F9" s="1" t="s">
        <v>30</v>
      </c>
      <c r="G9" s="1" t="s">
        <v>31</v>
      </c>
      <c r="H9" s="1">
        <v>800</v>
      </c>
      <c r="I9" s="1" t="s">
        <v>19</v>
      </c>
      <c r="M9"/>
    </row>
    <row r="10" spans="1:16">
      <c r="A10" s="12"/>
      <c r="B10" s="1" t="s">
        <v>12</v>
      </c>
      <c r="C10" s="1">
        <v>60</v>
      </c>
      <c r="D10" s="1" t="s">
        <v>11</v>
      </c>
      <c r="F10" s="14" t="s">
        <v>32</v>
      </c>
      <c r="G10" s="1" t="s">
        <v>33</v>
      </c>
      <c r="H10" s="1">
        <f>(H9-SQRT(2)*C8-150-100)/C14</f>
        <v>4.3872655214678575</v>
      </c>
      <c r="J10" s="1" t="s">
        <v>35</v>
      </c>
      <c r="M10"/>
    </row>
    <row r="11" spans="1:16">
      <c r="A11" s="1" t="s">
        <v>13</v>
      </c>
      <c r="B11" s="1" t="s">
        <v>14</v>
      </c>
      <c r="C11" s="1">
        <v>0.99</v>
      </c>
      <c r="F11" s="11"/>
      <c r="G11" s="2" t="s">
        <v>34</v>
      </c>
      <c r="H11" s="3">
        <v>3</v>
      </c>
      <c r="M11"/>
    </row>
    <row r="12" spans="1:16">
      <c r="A12" s="1" t="s">
        <v>15</v>
      </c>
      <c r="C12" s="1">
        <v>0.9</v>
      </c>
      <c r="F12" s="1" t="s">
        <v>36</v>
      </c>
      <c r="G12" s="1" t="s">
        <v>37</v>
      </c>
      <c r="H12" s="1">
        <v>0.47</v>
      </c>
      <c r="M12"/>
    </row>
    <row r="13" spans="1:16">
      <c r="A13" s="1" t="s">
        <v>16</v>
      </c>
      <c r="F13" s="1" t="s">
        <v>38</v>
      </c>
      <c r="G13" s="1" t="s">
        <v>39</v>
      </c>
      <c r="H13" s="1">
        <f>2*SQRT(2)*(C15/2)/(C7*H12*C12)</f>
        <v>8.0239067368686232</v>
      </c>
      <c r="I13" s="1" t="s">
        <v>40</v>
      </c>
      <c r="M13"/>
    </row>
    <row r="14" spans="1:16">
      <c r="A14" s="1" t="s">
        <v>17</v>
      </c>
      <c r="B14" s="1" t="s">
        <v>18</v>
      </c>
      <c r="C14" s="1">
        <v>48</v>
      </c>
      <c r="D14" s="1" t="s">
        <v>19</v>
      </c>
      <c r="F14" s="2" t="s">
        <v>41</v>
      </c>
      <c r="G14" s="3" t="s">
        <v>42</v>
      </c>
      <c r="H14" s="3">
        <f>SQRT(2)*C7*H12/(H13*C16*1000)*10^6</f>
        <v>82.837500000000006</v>
      </c>
      <c r="I14" s="3" t="s">
        <v>43</v>
      </c>
      <c r="M14"/>
    </row>
    <row r="15" spans="1:16" ht="14.55" customHeight="1">
      <c r="A15" s="1" t="s">
        <v>20</v>
      </c>
      <c r="B15" s="1" t="s">
        <v>21</v>
      </c>
      <c r="C15" s="1">
        <v>240</v>
      </c>
      <c r="D15" s="1" t="s">
        <v>22</v>
      </c>
      <c r="F15" s="15" t="s">
        <v>93</v>
      </c>
      <c r="G15" s="1" t="s">
        <v>53</v>
      </c>
      <c r="H15" s="1">
        <v>2500</v>
      </c>
      <c r="M15"/>
    </row>
    <row r="16" spans="1:16">
      <c r="A16" s="1" t="s">
        <v>23</v>
      </c>
      <c r="B16" s="1" t="s">
        <v>24</v>
      </c>
      <c r="C16" s="1">
        <v>100</v>
      </c>
      <c r="D16" s="1" t="s">
        <v>25</v>
      </c>
      <c r="F16" s="12"/>
      <c r="G16" s="1" t="s">
        <v>54</v>
      </c>
      <c r="H16" s="1">
        <v>470</v>
      </c>
      <c r="I16" s="1" t="s">
        <v>57</v>
      </c>
      <c r="M16"/>
    </row>
    <row r="17" spans="1:13">
      <c r="A17" s="1" t="s">
        <v>26</v>
      </c>
      <c r="B17" s="1" t="s">
        <v>27</v>
      </c>
      <c r="C17" s="1">
        <v>8</v>
      </c>
      <c r="D17" s="1" t="s">
        <v>19</v>
      </c>
      <c r="F17" s="12"/>
      <c r="G17" s="1" t="s">
        <v>55</v>
      </c>
      <c r="H17" s="1">
        <v>160</v>
      </c>
      <c r="I17" s="1" t="s">
        <v>57</v>
      </c>
      <c r="M17"/>
    </row>
    <row r="18" spans="1:13" ht="18" customHeight="1">
      <c r="F18" s="15" t="s">
        <v>97</v>
      </c>
      <c r="G18" s="1" t="s">
        <v>99</v>
      </c>
      <c r="H18" s="1">
        <v>40.6</v>
      </c>
      <c r="I18" s="1" t="s">
        <v>56</v>
      </c>
      <c r="M18"/>
    </row>
    <row r="19" spans="1:13" ht="18" customHeight="1">
      <c r="F19" s="15"/>
      <c r="G19" s="1" t="s">
        <v>100</v>
      </c>
      <c r="H19" s="1">
        <v>16.600000000000001</v>
      </c>
      <c r="M19"/>
    </row>
    <row r="20" spans="1:13">
      <c r="F20" s="15"/>
      <c r="G20" s="1" t="s">
        <v>59</v>
      </c>
      <c r="H20" s="1">
        <v>12.4</v>
      </c>
      <c r="I20" s="1" t="s">
        <v>56</v>
      </c>
    </row>
    <row r="21" spans="1:13">
      <c r="F21" s="15"/>
      <c r="G21" s="1" t="s">
        <v>60</v>
      </c>
      <c r="H21" s="1">
        <v>10.4</v>
      </c>
      <c r="I21" s="1" t="s">
        <v>56</v>
      </c>
    </row>
    <row r="22" spans="1:13">
      <c r="F22" s="15"/>
      <c r="G22" s="1" t="s">
        <v>61</v>
      </c>
      <c r="H22" s="1">
        <v>28.6</v>
      </c>
      <c r="I22" s="1" t="s">
        <v>56</v>
      </c>
    </row>
    <row r="23" spans="1:13">
      <c r="F23" s="15"/>
      <c r="G23" s="1" t="s">
        <v>62</v>
      </c>
      <c r="H23" s="1">
        <v>12.45</v>
      </c>
      <c r="I23" s="1" t="s">
        <v>56</v>
      </c>
    </row>
    <row r="24" spans="1:13">
      <c r="F24" s="15"/>
      <c r="G24" s="1" t="s">
        <v>106</v>
      </c>
      <c r="H24" s="1">
        <v>6.33</v>
      </c>
      <c r="I24" s="1" t="s">
        <v>56</v>
      </c>
    </row>
    <row r="25" spans="1:13">
      <c r="F25" s="15"/>
      <c r="G25" s="1" t="s">
        <v>107</v>
      </c>
      <c r="H25" s="1">
        <v>7.95</v>
      </c>
      <c r="I25" s="1" t="s">
        <v>56</v>
      </c>
    </row>
    <row r="26" spans="1:13">
      <c r="F26" s="15"/>
      <c r="G26" s="1" t="s">
        <v>63</v>
      </c>
      <c r="H26" s="1">
        <f>(H21+(H19-H21)/2+(H18-H22)/4+(H22-H23)/2+H23/2)*2</f>
        <v>61.600000000000009</v>
      </c>
      <c r="I26" s="1" t="s">
        <v>56</v>
      </c>
    </row>
    <row r="27" spans="1:13">
      <c r="F27" s="15"/>
      <c r="G27" s="1" t="s">
        <v>64</v>
      </c>
      <c r="H27" s="1">
        <f>(H21+(H19-H21)/2)*2</f>
        <v>27</v>
      </c>
      <c r="I27" s="1" t="s">
        <v>56</v>
      </c>
    </row>
    <row r="28" spans="1:13">
      <c r="F28" s="15"/>
      <c r="G28" s="1" t="s">
        <v>65</v>
      </c>
      <c r="H28" s="1">
        <f>H20*(H18-H22)/2</f>
        <v>74.400000000000006</v>
      </c>
      <c r="I28" s="1" t="s">
        <v>68</v>
      </c>
    </row>
    <row r="29" spans="1:13">
      <c r="F29" s="15"/>
      <c r="G29" s="1" t="s">
        <v>66</v>
      </c>
      <c r="H29" s="1">
        <f>H20*H23</f>
        <v>154.38</v>
      </c>
      <c r="I29" s="1" t="s">
        <v>68</v>
      </c>
    </row>
    <row r="30" spans="1:13">
      <c r="F30" s="15"/>
      <c r="G30" s="1" t="s">
        <v>69</v>
      </c>
      <c r="H30" s="1">
        <f>H29</f>
        <v>154.38</v>
      </c>
      <c r="I30" s="1" t="s">
        <v>68</v>
      </c>
      <c r="J30" s="1">
        <f>H31*H30</f>
        <v>25528.2768</v>
      </c>
    </row>
    <row r="31" spans="1:13">
      <c r="F31" s="15"/>
      <c r="G31" s="1" t="s">
        <v>67</v>
      </c>
      <c r="H31" s="1">
        <f>H25*H21*2</f>
        <v>165.36</v>
      </c>
      <c r="I31" s="1" t="s">
        <v>68</v>
      </c>
      <c r="J31" s="1" t="s">
        <v>105</v>
      </c>
      <c r="K31" s="1">
        <f>H44/H31</f>
        <v>0.14134887120650735</v>
      </c>
    </row>
    <row r="32" spans="1:13">
      <c r="F32" s="16" t="s">
        <v>70</v>
      </c>
      <c r="G32" s="1" t="s">
        <v>44</v>
      </c>
    </row>
    <row r="33" spans="6:19">
      <c r="F33" s="16"/>
      <c r="G33" s="2" t="s">
        <v>45</v>
      </c>
      <c r="H33" s="3">
        <f>H11*H36</f>
        <v>24</v>
      </c>
      <c r="J33" s="1" t="s">
        <v>73</v>
      </c>
    </row>
    <row r="34" spans="6:19">
      <c r="F34" s="16"/>
      <c r="G34" s="1" t="s">
        <v>46</v>
      </c>
      <c r="H34" s="1">
        <v>0.7</v>
      </c>
      <c r="I34" s="1" t="s">
        <v>56</v>
      </c>
    </row>
    <row r="35" spans="6:19">
      <c r="F35" s="16"/>
      <c r="G35" s="1" t="s">
        <v>48</v>
      </c>
      <c r="H35" s="1">
        <f>H14*(10^-6)*H13/(H11*H28*(10^-6)*(H16-H17)*0.001*0.9)</f>
        <v>10.67368697594061</v>
      </c>
      <c r="J35" s="1" t="s">
        <v>72</v>
      </c>
    </row>
    <row r="36" spans="6:19">
      <c r="F36" s="16"/>
      <c r="G36" s="2" t="s">
        <v>49</v>
      </c>
      <c r="H36" s="3">
        <v>8</v>
      </c>
      <c r="J36" s="1" t="s">
        <v>73</v>
      </c>
    </row>
    <row r="37" spans="6:19">
      <c r="F37" s="16"/>
      <c r="G37" s="1" t="s">
        <v>46</v>
      </c>
      <c r="H37" s="1">
        <v>1.5</v>
      </c>
      <c r="I37" s="1" t="s">
        <v>56</v>
      </c>
    </row>
    <row r="38" spans="6:19">
      <c r="F38" s="16"/>
      <c r="G38" s="1" t="s">
        <v>47</v>
      </c>
      <c r="J38" s="1" t="s">
        <v>72</v>
      </c>
      <c r="S38" s="1" t="s">
        <v>96</v>
      </c>
    </row>
    <row r="39" spans="6:19">
      <c r="F39" s="16"/>
      <c r="G39" s="2" t="s">
        <v>50</v>
      </c>
      <c r="H39" s="3">
        <f>H11*H42</f>
        <v>18</v>
      </c>
    </row>
    <row r="40" spans="6:19">
      <c r="F40" s="16"/>
      <c r="G40" s="1" t="s">
        <v>46</v>
      </c>
      <c r="H40" s="1">
        <v>0.7</v>
      </c>
      <c r="I40" s="1" t="s">
        <v>56</v>
      </c>
    </row>
    <row r="41" spans="6:19">
      <c r="F41" s="16"/>
      <c r="G41" s="1" t="s">
        <v>51</v>
      </c>
      <c r="H41" s="1">
        <f>H14*(10^-6)*H13/(H11*H30*(10^-6)*(H16-H17)*0.001*0.9)</f>
        <v>5.1439455305737889</v>
      </c>
      <c r="J41" s="1" t="s">
        <v>72</v>
      </c>
    </row>
    <row r="42" spans="6:19">
      <c r="F42" s="16"/>
      <c r="G42" s="2" t="s">
        <v>52</v>
      </c>
      <c r="H42" s="3">
        <v>6</v>
      </c>
    </row>
    <row r="43" spans="6:19">
      <c r="F43" s="16"/>
      <c r="G43" s="1" t="s">
        <v>46</v>
      </c>
      <c r="H43" s="1">
        <v>1.5</v>
      </c>
      <c r="I43" s="1" t="s">
        <v>56</v>
      </c>
    </row>
    <row r="44" spans="6:19">
      <c r="F44" s="16"/>
      <c r="G44" s="1" t="s">
        <v>71</v>
      </c>
      <c r="H44" s="1">
        <f>0.25*PI()*(H33*H34*H34+H36*H37*H37)</f>
        <v>23.37344934270806</v>
      </c>
      <c r="I44" s="1" t="s">
        <v>68</v>
      </c>
    </row>
    <row r="45" spans="6:19">
      <c r="F45" s="12" t="s">
        <v>74</v>
      </c>
      <c r="G45" s="1" t="s">
        <v>75</v>
      </c>
      <c r="H45" s="1">
        <f>H33*H33/(2*H14*10^-6)</f>
        <v>3476686.2833861476</v>
      </c>
      <c r="I45" s="1" t="s">
        <v>77</v>
      </c>
    </row>
    <row r="46" spans="6:19">
      <c r="F46" s="12"/>
      <c r="G46" s="1" t="s">
        <v>76</v>
      </c>
      <c r="H46" s="1">
        <f>H45/2</f>
        <v>1738343.1416930738</v>
      </c>
      <c r="I46" s="1" t="s">
        <v>77</v>
      </c>
    </row>
    <row r="47" spans="6:19">
      <c r="F47" s="12" t="s">
        <v>78</v>
      </c>
      <c r="G47" s="12" t="s">
        <v>79</v>
      </c>
      <c r="H47" s="12"/>
      <c r="I47" s="12"/>
    </row>
    <row r="48" spans="6:19">
      <c r="F48" s="12"/>
      <c r="G48" s="2" t="s">
        <v>80</v>
      </c>
      <c r="H48" s="3">
        <f>((1/(H15-1))*(H5*(H15*H28*(10^-6)*H45-H29*(10^-6)*H46)+(H27*(10^-3)/H15)-H26*(10^-3)))*1000</f>
        <v>0.30039818700545473</v>
      </c>
      <c r="I48" s="3" t="s">
        <v>56</v>
      </c>
      <c r="J48" s="11"/>
    </row>
    <row r="49" spans="6:10">
      <c r="F49" s="12"/>
      <c r="G49" s="3" t="s">
        <v>81</v>
      </c>
      <c r="H49" s="3">
        <f>(H5*H29*(10^-6)*H46-H27*(10^-3)/H15)*1000</f>
        <v>0.32643792550963852</v>
      </c>
      <c r="I49" s="3" t="s">
        <v>56</v>
      </c>
      <c r="J49" s="11"/>
    </row>
    <row r="50" spans="6:10">
      <c r="F50" s="12"/>
      <c r="G50"/>
      <c r="H50"/>
      <c r="I50"/>
    </row>
    <row r="51" spans="6:10">
      <c r="F51" s="12"/>
      <c r="G51" s="12" t="s">
        <v>82</v>
      </c>
      <c r="H51" s="12"/>
      <c r="I51" s="12"/>
    </row>
    <row r="52" spans="6:10">
      <c r="F52" s="12"/>
      <c r="G52" s="4" t="s">
        <v>83</v>
      </c>
      <c r="H52" s="4">
        <f>(H5*(H28*10^-6)*H45-(H26*10^-3/H15))*1000</f>
        <v>0.30040860290085636</v>
      </c>
      <c r="I52" s="4" t="s">
        <v>56</v>
      </c>
      <c r="J52" s="12"/>
    </row>
    <row r="53" spans="6:10">
      <c r="F53" s="12"/>
      <c r="G53" s="4" t="s">
        <v>84</v>
      </c>
      <c r="H53" s="4">
        <f>((1/(H15-1))*(H5*(H15*H29*(10^-6)*H46-H28*(10^-6)*H45)+(H26*(10^-3)/H15)-H27*(10^-3)))*1000</f>
        <v>0.32644834140504003</v>
      </c>
      <c r="I53" s="4" t="s">
        <v>56</v>
      </c>
      <c r="J53" s="12"/>
    </row>
    <row r="54" spans="6:10">
      <c r="F54"/>
    </row>
    <row r="55" spans="6:10">
      <c r="F55"/>
    </row>
    <row r="56" spans="6:10">
      <c r="F56"/>
    </row>
    <row r="57" spans="6:10">
      <c r="F57"/>
    </row>
    <row r="58" spans="6:10">
      <c r="F58"/>
    </row>
    <row r="59" spans="6:10">
      <c r="F59"/>
    </row>
  </sheetData>
  <mergeCells count="14">
    <mergeCell ref="J48:J49"/>
    <mergeCell ref="G51:I51"/>
    <mergeCell ref="J52:J53"/>
    <mergeCell ref="A1:G1"/>
    <mergeCell ref="A7:A8"/>
    <mergeCell ref="F7:I7"/>
    <mergeCell ref="A9:A10"/>
    <mergeCell ref="F10:F11"/>
    <mergeCell ref="F15:F17"/>
    <mergeCell ref="F18:F31"/>
    <mergeCell ref="F32:F44"/>
    <mergeCell ref="F45:F46"/>
    <mergeCell ref="F47:F53"/>
    <mergeCell ref="G47:I47"/>
  </mergeCells>
  <hyperlinks>
    <hyperlink ref="M6" r:id="rId1" xr:uid="{5AC3EF88-348A-40A4-98C8-37CF93DB9DF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4D5B-7023-480D-B2C3-B446BF789288}">
  <dimension ref="A1:S61"/>
  <sheetViews>
    <sheetView tabSelected="1" zoomScaleNormal="100" workbookViewId="0">
      <selection activeCell="B3" sqref="B3"/>
    </sheetView>
  </sheetViews>
  <sheetFormatPr defaultColWidth="8.6640625" defaultRowHeight="14.4"/>
  <cols>
    <col min="1" max="1" width="29" style="1" bestFit="1" customWidth="1"/>
    <col min="2" max="3" width="16" style="1" customWidth="1"/>
    <col min="4" max="4" width="16.88671875" style="1" customWidth="1"/>
    <col min="5" max="5" width="14.109375" style="1" customWidth="1"/>
    <col min="6" max="6" width="28.21875" style="1" customWidth="1"/>
    <col min="7" max="7" width="18.21875" style="1" customWidth="1"/>
    <col min="8" max="8" width="13.6640625" style="1" customWidth="1"/>
    <col min="9" max="9" width="10.88671875" style="1" customWidth="1"/>
    <col min="10" max="16384" width="8.6640625" style="1"/>
  </cols>
  <sheetData>
    <row r="1" spans="1:13">
      <c r="A1" s="13" t="s">
        <v>85</v>
      </c>
      <c r="B1" s="13"/>
      <c r="C1" s="13"/>
      <c r="D1" s="13"/>
      <c r="E1" s="13"/>
      <c r="F1" s="13"/>
      <c r="G1" s="13"/>
      <c r="H1" s="1" t="s">
        <v>98</v>
      </c>
      <c r="K1" s="1" t="s">
        <v>109</v>
      </c>
      <c r="M1" s="1" t="s">
        <v>120</v>
      </c>
    </row>
    <row r="2" spans="1:13">
      <c r="A2" s="5" t="s">
        <v>86</v>
      </c>
      <c r="B2" s="5" t="s">
        <v>88</v>
      </c>
      <c r="C2" s="5" t="s">
        <v>87</v>
      </c>
      <c r="D2" s="5" t="s">
        <v>90</v>
      </c>
      <c r="E2" s="5" t="s">
        <v>91</v>
      </c>
      <c r="F2" s="5" t="s">
        <v>92</v>
      </c>
      <c r="G2" s="5" t="s">
        <v>89</v>
      </c>
      <c r="K2" s="1">
        <f>H31*H33</f>
        <v>46348.885439999998</v>
      </c>
      <c r="M2" s="1">
        <f>2*M33^0.75*(2*M32^0.25+M32^0.75)</f>
        <v>21026.797764838549</v>
      </c>
    </row>
    <row r="3" spans="1:13">
      <c r="A3" s="5">
        <f>H16</f>
        <v>8.0239067368686232</v>
      </c>
      <c r="B3" s="5">
        <f>C11*SQRT(2)/(H17*0.000001*C19*1000)*SQRT(H15^3/6)</f>
        <v>5.389772294825721</v>
      </c>
      <c r="C3" s="8">
        <f>C11*SQRT(2)/(H17*0.000001*C19*1000)*SQRT(4*C15*H15^3/(9*PI())*(C11*SQRT(2))/C17)</f>
        <v>12.526899789634845</v>
      </c>
      <c r="D3" s="5">
        <v>5</v>
      </c>
      <c r="E3" s="6">
        <v>0.3</v>
      </c>
      <c r="F3" s="5">
        <v>0.3</v>
      </c>
      <c r="G3" s="7">
        <f>((H17*10^-6)*A3*2*(B3+(C3/H14))/(E3*(D3*10^6)*F3))*10^12</f>
        <v>28257.499319086353</v>
      </c>
      <c r="H3" s="1">
        <f>((H17*10^-6)*A3*(B3+(C3/H14))/(E3*(D3*10^6)*F3))*10^12</f>
        <v>14128.749659543177</v>
      </c>
    </row>
    <row r="4" spans="1:13">
      <c r="B4" s="1" t="s">
        <v>113</v>
      </c>
      <c r="C4" s="1" t="s">
        <v>114</v>
      </c>
      <c r="E4" s="1" t="s">
        <v>112</v>
      </c>
      <c r="G4" s="1">
        <f>2*G3^(0.75)*((H31/H33)^0.75+2*(H31/H33)^0.25+(H31/H33)^(-0.25))</f>
        <v>18607.373000412361</v>
      </c>
      <c r="H4" s="1">
        <f>2*2*H3^(0.75)*((H31/H33)^0.75+2*(H31/H33)^0.25+(H31/H33)^(-0.25))</f>
        <v>22128.020363599939</v>
      </c>
      <c r="I4" s="1">
        <f>H6/H5</f>
        <v>0.44529015180162596</v>
      </c>
    </row>
    <row r="5" spans="1:13">
      <c r="A5" s="1" t="s">
        <v>115</v>
      </c>
      <c r="B5" s="1">
        <f>H17*0.000001*A3/(H41*E3)</f>
        <v>1.2308895820654716E-4</v>
      </c>
      <c r="C5" s="1">
        <f>(H41/(D3*1000000*F3)*(B3+C3/H14))</f>
        <v>1.1478486669644803E-4</v>
      </c>
      <c r="D5" s="1">
        <f>B5*C5*1000000000000</f>
        <v>14128.749659543178</v>
      </c>
      <c r="E5" s="1">
        <f>B5/C5</f>
        <v>1.0723448286267523</v>
      </c>
      <c r="F5" s="1" t="s">
        <v>117</v>
      </c>
      <c r="H5" s="1">
        <f>2*2*H3^(0.75)*((B5/C5)^0.75+2*(B5/C5)^0.25+(B5/C5)^(-0.25))</f>
        <v>21106.382941665575</v>
      </c>
      <c r="J5" s="1" t="s">
        <v>118</v>
      </c>
      <c r="K5" s="1">
        <f>2*2*D5^0.75*(2*E5^0.25+E5^0.75)</f>
        <v>16012.438856761382</v>
      </c>
    </row>
    <row r="6" spans="1:13">
      <c r="A6" s="1" t="s">
        <v>116</v>
      </c>
      <c r="B6" s="1">
        <f>H17*0.000001*A3/(H41*E3)</f>
        <v>1.2308895820654716E-4</v>
      </c>
      <c r="C6" s="1">
        <f>1/(D3*1000000*F3)*((H41+0.5*H35)*(B3+C3/H14))</f>
        <v>1.9130811116074674E-4</v>
      </c>
      <c r="D6" s="1">
        <f>B6*C6*1000000000000</f>
        <v>23547.916099238635</v>
      </c>
      <c r="E6" s="1">
        <f>B6/C6</f>
        <v>0.64340689717605126</v>
      </c>
      <c r="F6" s="1" t="s">
        <v>117</v>
      </c>
      <c r="H6" s="1">
        <f>2*H3^(0.75)*((B6/C6)^0.75+2*(B6/C6)^0.25+(B6/C6)^(-0.25))</f>
        <v>9398.4644640775132</v>
      </c>
      <c r="K6" s="1">
        <f>2*D6^0.75*(2*E6^0.25+E6^0.75)</f>
        <v>9541.2114003635816</v>
      </c>
    </row>
    <row r="7" spans="1:13">
      <c r="A7" s="1" t="s">
        <v>111</v>
      </c>
      <c r="H7" s="1">
        <f>H6/H5</f>
        <v>0.44529015180162596</v>
      </c>
      <c r="K7" s="1">
        <f>K6/K5</f>
        <v>0.59586247202653497</v>
      </c>
    </row>
    <row r="8" spans="1:13">
      <c r="A8" s="1" t="s">
        <v>0</v>
      </c>
      <c r="B8" s="1" t="s">
        <v>1</v>
      </c>
      <c r="C8" s="1" t="s">
        <v>2</v>
      </c>
      <c r="D8" s="1" t="s">
        <v>3</v>
      </c>
      <c r="F8" s="1" t="s">
        <v>28</v>
      </c>
      <c r="H8" s="1">
        <f>4*PI()*10^-7</f>
        <v>1.2566370614359173E-6</v>
      </c>
    </row>
    <row r="9" spans="1:13">
      <c r="A9" s="1" t="s">
        <v>4</v>
      </c>
    </row>
    <row r="10" spans="1:13">
      <c r="A10" s="12" t="s">
        <v>5</v>
      </c>
      <c r="B10" s="1" t="s">
        <v>6</v>
      </c>
      <c r="C10" s="1">
        <v>100</v>
      </c>
      <c r="D10" s="1" t="s">
        <v>7</v>
      </c>
      <c r="F10" s="12" t="s">
        <v>29</v>
      </c>
      <c r="G10" s="12"/>
      <c r="H10" s="12"/>
      <c r="I10" s="12"/>
      <c r="M10"/>
    </row>
    <row r="11" spans="1:13">
      <c r="A11" s="12"/>
      <c r="B11" s="1" t="s">
        <v>8</v>
      </c>
      <c r="C11" s="1">
        <v>240</v>
      </c>
      <c r="D11" s="9" t="s">
        <v>7</v>
      </c>
      <c r="G11" s="1" t="s">
        <v>1</v>
      </c>
      <c r="H11" s="1" t="s">
        <v>2</v>
      </c>
      <c r="I11" s="1" t="s">
        <v>3</v>
      </c>
      <c r="M11"/>
    </row>
    <row r="12" spans="1:13">
      <c r="A12" s="12" t="s">
        <v>9</v>
      </c>
      <c r="B12" s="1" t="s">
        <v>10</v>
      </c>
      <c r="C12" s="1">
        <v>50</v>
      </c>
      <c r="D12" s="1" t="s">
        <v>11</v>
      </c>
      <c r="F12" s="1" t="s">
        <v>30</v>
      </c>
      <c r="G12" s="1" t="s">
        <v>31</v>
      </c>
      <c r="H12" s="1">
        <v>800</v>
      </c>
      <c r="I12" s="1" t="s">
        <v>19</v>
      </c>
      <c r="M12"/>
    </row>
    <row r="13" spans="1:13">
      <c r="A13" s="12"/>
      <c r="B13" s="1" t="s">
        <v>12</v>
      </c>
      <c r="C13" s="1">
        <v>60</v>
      </c>
      <c r="D13" s="1" t="s">
        <v>11</v>
      </c>
      <c r="F13" s="14" t="s">
        <v>32</v>
      </c>
      <c r="G13" s="1" t="s">
        <v>33</v>
      </c>
      <c r="H13" s="1">
        <f>(H12-SQRT(2)*C11-150-100)/C17</f>
        <v>4.3872655214678575</v>
      </c>
      <c r="J13" s="1" t="s">
        <v>35</v>
      </c>
      <c r="M13"/>
    </row>
    <row r="14" spans="1:13">
      <c r="A14" s="1" t="s">
        <v>13</v>
      </c>
      <c r="B14" s="1" t="s">
        <v>14</v>
      </c>
      <c r="C14" s="1">
        <v>0.99</v>
      </c>
      <c r="F14" s="11"/>
      <c r="G14" s="2" t="s">
        <v>34</v>
      </c>
      <c r="H14" s="3">
        <v>3</v>
      </c>
      <c r="M14"/>
    </row>
    <row r="15" spans="1:13">
      <c r="A15" s="1" t="s">
        <v>15</v>
      </c>
      <c r="C15" s="1">
        <v>0.9</v>
      </c>
      <c r="F15" s="1" t="s">
        <v>36</v>
      </c>
      <c r="G15" s="1" t="s">
        <v>37</v>
      </c>
      <c r="H15" s="1">
        <v>0.47</v>
      </c>
      <c r="M15"/>
    </row>
    <row r="16" spans="1:13">
      <c r="A16" s="1" t="s">
        <v>16</v>
      </c>
      <c r="F16" s="1" t="s">
        <v>38</v>
      </c>
      <c r="G16" s="1" t="s">
        <v>39</v>
      </c>
      <c r="H16" s="1">
        <f>2*SQRT(2)*(C18/2)/(C10*H15*C15)</f>
        <v>8.0239067368686232</v>
      </c>
      <c r="I16" s="1" t="s">
        <v>40</v>
      </c>
      <c r="M16"/>
    </row>
    <row r="17" spans="1:13">
      <c r="A17" s="1" t="s">
        <v>17</v>
      </c>
      <c r="B17" s="1" t="s">
        <v>18</v>
      </c>
      <c r="C17" s="1">
        <v>48</v>
      </c>
      <c r="D17" s="1" t="s">
        <v>19</v>
      </c>
      <c r="F17" s="2" t="s">
        <v>41</v>
      </c>
      <c r="G17" s="3" t="s">
        <v>42</v>
      </c>
      <c r="H17" s="3">
        <f>SQRT(2)*C10*H15/(H16*C19*1000)*10^6</f>
        <v>82.837500000000006</v>
      </c>
      <c r="I17" s="3" t="s">
        <v>43</v>
      </c>
      <c r="M17"/>
    </row>
    <row r="18" spans="1:13" ht="14.55" customHeight="1">
      <c r="A18" s="1" t="s">
        <v>20</v>
      </c>
      <c r="B18" s="1" t="s">
        <v>21</v>
      </c>
      <c r="C18" s="1">
        <v>240</v>
      </c>
      <c r="D18" s="1" t="s">
        <v>22</v>
      </c>
      <c r="F18" s="15" t="s">
        <v>93</v>
      </c>
      <c r="G18" s="1" t="s">
        <v>53</v>
      </c>
      <c r="H18" s="1">
        <v>2500</v>
      </c>
      <c r="M18"/>
    </row>
    <row r="19" spans="1:13">
      <c r="A19" s="1" t="s">
        <v>23</v>
      </c>
      <c r="B19" s="1" t="s">
        <v>24</v>
      </c>
      <c r="C19" s="1">
        <v>100</v>
      </c>
      <c r="D19" s="1" t="s">
        <v>25</v>
      </c>
      <c r="F19" s="12"/>
      <c r="G19" s="1" t="s">
        <v>54</v>
      </c>
      <c r="H19" s="1">
        <v>470</v>
      </c>
      <c r="I19" s="1" t="s">
        <v>57</v>
      </c>
      <c r="M19"/>
    </row>
    <row r="20" spans="1:13">
      <c r="A20" s="1" t="s">
        <v>26</v>
      </c>
      <c r="B20" s="1" t="s">
        <v>27</v>
      </c>
      <c r="C20" s="1">
        <v>8</v>
      </c>
      <c r="D20" s="1" t="s">
        <v>19</v>
      </c>
      <c r="F20" s="12"/>
      <c r="G20" s="1" t="s">
        <v>55</v>
      </c>
      <c r="H20" s="1">
        <v>160</v>
      </c>
      <c r="I20" s="1" t="s">
        <v>57</v>
      </c>
      <c r="M20"/>
    </row>
    <row r="21" spans="1:13" ht="18" customHeight="1">
      <c r="F21" s="15" t="s">
        <v>97</v>
      </c>
      <c r="G21" s="1" t="s">
        <v>58</v>
      </c>
      <c r="H21" s="1">
        <v>19.600000000000001</v>
      </c>
      <c r="I21" s="1" t="s">
        <v>56</v>
      </c>
      <c r="J21" s="1" t="s">
        <v>99</v>
      </c>
      <c r="K21" s="1">
        <v>46.9</v>
      </c>
      <c r="M21"/>
    </row>
    <row r="22" spans="1:13">
      <c r="F22" s="15"/>
      <c r="G22" s="1" t="s">
        <v>59</v>
      </c>
      <c r="H22" s="1">
        <v>15.6</v>
      </c>
      <c r="I22" s="1" t="s">
        <v>56</v>
      </c>
      <c r="J22" s="1" t="s">
        <v>100</v>
      </c>
      <c r="K22" s="1">
        <v>19.600000000000001</v>
      </c>
    </row>
    <row r="23" spans="1:13">
      <c r="F23" s="15"/>
      <c r="G23" s="1" t="s">
        <v>60</v>
      </c>
      <c r="H23" s="1">
        <v>12.1</v>
      </c>
      <c r="I23" s="1" t="s">
        <v>56</v>
      </c>
      <c r="J23" s="1" t="s">
        <v>101</v>
      </c>
      <c r="K23" s="1">
        <v>15.6</v>
      </c>
    </row>
    <row r="24" spans="1:13">
      <c r="F24" s="15"/>
      <c r="G24" s="1" t="s">
        <v>61</v>
      </c>
      <c r="H24" s="1">
        <v>32.4</v>
      </c>
      <c r="I24" s="1" t="s">
        <v>56</v>
      </c>
      <c r="J24" s="1" t="s">
        <v>102</v>
      </c>
      <c r="K24" s="1">
        <v>12.1</v>
      </c>
    </row>
    <row r="25" spans="1:13">
      <c r="F25" s="15"/>
      <c r="G25" s="1" t="s">
        <v>62</v>
      </c>
      <c r="H25" s="1">
        <v>15.6</v>
      </c>
      <c r="I25" s="1" t="s">
        <v>56</v>
      </c>
      <c r="J25" s="1" t="s">
        <v>103</v>
      </c>
      <c r="K25" s="1">
        <v>32.4</v>
      </c>
    </row>
    <row r="26" spans="1:13">
      <c r="F26" s="15"/>
      <c r="G26" s="1" t="s">
        <v>94</v>
      </c>
      <c r="H26" s="1">
        <v>7.54</v>
      </c>
      <c r="I26" s="1" t="s">
        <v>56</v>
      </c>
      <c r="J26" s="1" t="s">
        <v>104</v>
      </c>
      <c r="K26" s="1">
        <v>15.6</v>
      </c>
    </row>
    <row r="27" spans="1:13">
      <c r="F27" s="15"/>
      <c r="G27" s="1" t="s">
        <v>95</v>
      </c>
      <c r="H27" s="1">
        <v>7.87</v>
      </c>
      <c r="I27" s="1" t="s">
        <v>56</v>
      </c>
    </row>
    <row r="28" spans="1:13">
      <c r="F28" s="15"/>
      <c r="G28" s="1" t="s">
        <v>63</v>
      </c>
      <c r="H28" s="1">
        <f>K29</f>
        <v>71.349999999999994</v>
      </c>
      <c r="I28" s="1" t="s">
        <v>56</v>
      </c>
    </row>
    <row r="29" spans="1:13">
      <c r="F29" s="15"/>
      <c r="G29" s="1" t="s">
        <v>64</v>
      </c>
      <c r="H29" s="1">
        <f>(H23+(H21-H23)/2)*2</f>
        <v>31.700000000000003</v>
      </c>
      <c r="I29" s="1" t="s">
        <v>56</v>
      </c>
      <c r="K29" s="1">
        <f>(K24+(K22-K24)/2+(K21-K25)/4+(K25-K26)/2+K26/2)*2</f>
        <v>71.349999999999994</v>
      </c>
    </row>
    <row r="30" spans="1:13">
      <c r="F30" s="15"/>
      <c r="G30" s="1" t="s">
        <v>65</v>
      </c>
      <c r="H30" s="1">
        <f>H22*H26</f>
        <v>117.624</v>
      </c>
      <c r="I30" s="1" t="s">
        <v>68</v>
      </c>
      <c r="K30" s="1">
        <f>(K24+(K22-K24)/2)*2</f>
        <v>31.700000000000003</v>
      </c>
    </row>
    <row r="31" spans="1:13">
      <c r="F31" s="15"/>
      <c r="G31" s="1" t="s">
        <v>66</v>
      </c>
      <c r="H31" s="1">
        <f>H22*H25</f>
        <v>243.35999999999999</v>
      </c>
      <c r="I31" s="1" t="s">
        <v>68</v>
      </c>
    </row>
    <row r="32" spans="1:13">
      <c r="F32" s="15"/>
      <c r="G32" s="1" t="s">
        <v>69</v>
      </c>
      <c r="H32" s="1">
        <f>H31</f>
        <v>243.35999999999999</v>
      </c>
      <c r="I32" s="1" t="s">
        <v>68</v>
      </c>
      <c r="L32" s="1" t="s">
        <v>112</v>
      </c>
      <c r="M32" s="1">
        <f>H32/H33</f>
        <v>1.2777888624024698</v>
      </c>
    </row>
    <row r="33" spans="6:19">
      <c r="F33" s="15"/>
      <c r="G33" s="1" t="s">
        <v>67</v>
      </c>
      <c r="H33" s="1">
        <f>H27*H23*2</f>
        <v>190.45400000000001</v>
      </c>
      <c r="I33" s="1" t="s">
        <v>68</v>
      </c>
      <c r="K33" s="1">
        <f>H46/H33</f>
        <v>0.2668741804003027</v>
      </c>
      <c r="L33" s="1" t="s">
        <v>119</v>
      </c>
      <c r="M33" s="1">
        <f>H33*H32</f>
        <v>46348.885439999998</v>
      </c>
    </row>
    <row r="34" spans="6:19">
      <c r="F34" s="16" t="s">
        <v>70</v>
      </c>
      <c r="G34" s="1" t="s">
        <v>44</v>
      </c>
      <c r="J34" s="1">
        <f>(K26-K27)/2*2*K25</f>
        <v>505.43999999999994</v>
      </c>
    </row>
    <row r="35" spans="6:19">
      <c r="F35" s="16"/>
      <c r="G35" s="2" t="s">
        <v>45</v>
      </c>
      <c r="H35" s="3">
        <f>H14*H38</f>
        <v>24</v>
      </c>
      <c r="J35" s="1" t="s">
        <v>73</v>
      </c>
    </row>
    <row r="36" spans="6:19">
      <c r="F36" s="16"/>
      <c r="G36" s="1" t="s">
        <v>46</v>
      </c>
      <c r="H36" s="1">
        <v>1</v>
      </c>
      <c r="I36" s="1" t="s">
        <v>56</v>
      </c>
    </row>
    <row r="37" spans="6:19">
      <c r="F37" s="16"/>
      <c r="G37" s="1" t="s">
        <v>48</v>
      </c>
      <c r="H37" s="1">
        <f>H17*(10^-6)*H16/(H14*H30*(10^-6)*(H19-H20)*0.001*0.9)</f>
        <v>6.7513629107153443</v>
      </c>
      <c r="J37" s="1" t="s">
        <v>72</v>
      </c>
    </row>
    <row r="38" spans="6:19">
      <c r="F38" s="16"/>
      <c r="G38" s="2" t="s">
        <v>49</v>
      </c>
      <c r="H38" s="3">
        <v>8</v>
      </c>
      <c r="J38" s="1" t="s">
        <v>73</v>
      </c>
    </row>
    <row r="39" spans="6:19">
      <c r="F39" s="16"/>
      <c r="G39" s="1" t="s">
        <v>46</v>
      </c>
      <c r="H39" s="1">
        <v>1.6</v>
      </c>
      <c r="I39" s="1" t="s">
        <v>56</v>
      </c>
    </row>
    <row r="40" spans="6:19">
      <c r="F40" s="16"/>
      <c r="G40" s="1" t="s">
        <v>47</v>
      </c>
      <c r="J40" s="1" t="s">
        <v>72</v>
      </c>
      <c r="S40" s="1" t="s">
        <v>96</v>
      </c>
    </row>
    <row r="41" spans="6:19">
      <c r="F41" s="16"/>
      <c r="G41" s="2" t="s">
        <v>50</v>
      </c>
      <c r="H41" s="3">
        <v>18</v>
      </c>
    </row>
    <row r="42" spans="6:19">
      <c r="F42" s="16"/>
      <c r="G42" s="1" t="s">
        <v>46</v>
      </c>
      <c r="H42" s="1">
        <v>1</v>
      </c>
      <c r="I42" s="1" t="s">
        <v>56</v>
      </c>
    </row>
    <row r="43" spans="6:19">
      <c r="F43" s="16"/>
      <c r="G43" s="1" t="s">
        <v>51</v>
      </c>
      <c r="H43" s="1">
        <f>H17*(10^-6)*H16/(H14*H32*(10^-6)*(H19-H20)*0.001*0.9)</f>
        <v>3.2631587401790831</v>
      </c>
      <c r="J43" s="1" t="s">
        <v>72</v>
      </c>
    </row>
    <row r="44" spans="6:19">
      <c r="F44" s="16"/>
      <c r="G44" s="2" t="s">
        <v>52</v>
      </c>
      <c r="H44" s="3">
        <v>6</v>
      </c>
    </row>
    <row r="45" spans="6:19">
      <c r="F45" s="16"/>
      <c r="G45" s="1" t="s">
        <v>46</v>
      </c>
      <c r="H45" s="1">
        <v>1.6</v>
      </c>
      <c r="I45" s="1" t="s">
        <v>56</v>
      </c>
    </row>
    <row r="46" spans="6:19">
      <c r="F46" s="16"/>
      <c r="G46" s="1" t="s">
        <v>71</v>
      </c>
      <c r="H46" s="1">
        <f>0.25*PI()*0.5*(H35*H36*H36+H38*H39*H39)+H41*H42*H42+H44*H45*H45</f>
        <v>50.827255153959257</v>
      </c>
      <c r="I46" s="1" t="s">
        <v>68</v>
      </c>
    </row>
    <row r="47" spans="6:19">
      <c r="F47" s="12" t="s">
        <v>74</v>
      </c>
      <c r="G47" s="1" t="s">
        <v>75</v>
      </c>
      <c r="H47" s="1">
        <f>H35*H35/(2*H17*10^-6)</f>
        <v>3476686.2833861476</v>
      </c>
      <c r="I47" s="1" t="s">
        <v>77</v>
      </c>
    </row>
    <row r="48" spans="6:19">
      <c r="F48" s="12"/>
      <c r="G48" s="1" t="s">
        <v>76</v>
      </c>
      <c r="H48" s="1">
        <f>(2*H41-H35)*(2*H41+H35)/(4*H17*10^-6)</f>
        <v>2172928.9271163424</v>
      </c>
      <c r="I48" s="1" t="s">
        <v>77</v>
      </c>
    </row>
    <row r="49" spans="6:10">
      <c r="F49" s="12" t="s">
        <v>78</v>
      </c>
      <c r="G49" s="12" t="s">
        <v>79</v>
      </c>
      <c r="H49" s="12"/>
      <c r="I49" s="12"/>
    </row>
    <row r="50" spans="6:10">
      <c r="F50" s="12"/>
      <c r="G50" s="2" t="s">
        <v>80</v>
      </c>
      <c r="H50" s="3">
        <f>((1/(H18-1))*(H8*(H18*H30*(10^-6)*H47-H31*(10^-6)*H48)+(H29*(10^-3)/H18)-H28*(10^-3)))*1000</f>
        <v>0.48528473576809544</v>
      </c>
      <c r="I50" s="3" t="s">
        <v>56</v>
      </c>
      <c r="J50" s="11"/>
    </row>
    <row r="51" spans="6:10">
      <c r="F51" s="12"/>
      <c r="G51" s="3" t="s">
        <v>81</v>
      </c>
      <c r="H51" s="3">
        <f>(H8*H31*(10^-6)*H48-H29*(10^-3)/H18)*1000</f>
        <v>0.65183468415618606</v>
      </c>
      <c r="I51" s="3" t="s">
        <v>56</v>
      </c>
      <c r="J51" s="11"/>
    </row>
    <row r="52" spans="6:10">
      <c r="F52" s="12"/>
      <c r="G52"/>
      <c r="H52"/>
      <c r="I52"/>
    </row>
    <row r="53" spans="6:10">
      <c r="F53" s="12"/>
      <c r="G53" s="12" t="s">
        <v>82</v>
      </c>
      <c r="H53" s="12"/>
      <c r="I53" s="12"/>
    </row>
    <row r="54" spans="6:10">
      <c r="F54" s="12"/>
      <c r="G54" s="4" t="s">
        <v>83</v>
      </c>
      <c r="H54" s="4">
        <f>(H8*(H30*10^-6)*H47-(H28*10^-3/H18))*1000</f>
        <v>0.48535135574745053</v>
      </c>
      <c r="I54" s="4" t="s">
        <v>56</v>
      </c>
      <c r="J54" s="12"/>
    </row>
    <row r="55" spans="6:10">
      <c r="F55" s="12"/>
      <c r="G55" s="4" t="s">
        <v>84</v>
      </c>
      <c r="H55" s="4">
        <f>((1/(H18-1))*(H8*(H18*H31*(10^-6)*H48-H30*(10^-6)*H47)+(H28*(10^-3)/H18)-H29*(10^-3)))*1000</f>
        <v>0.65190130413554137</v>
      </c>
      <c r="I55" s="4" t="s">
        <v>56</v>
      </c>
      <c r="J55" s="12"/>
    </row>
    <row r="56" spans="6:10">
      <c r="F56"/>
    </row>
    <row r="57" spans="6:10">
      <c r="F57"/>
    </row>
    <row r="58" spans="6:10">
      <c r="F58"/>
    </row>
    <row r="59" spans="6:10">
      <c r="F59"/>
    </row>
    <row r="60" spans="6:10">
      <c r="F60"/>
    </row>
    <row r="61" spans="6:10">
      <c r="F61"/>
    </row>
  </sheetData>
  <mergeCells count="14">
    <mergeCell ref="J50:J51"/>
    <mergeCell ref="G53:I53"/>
    <mergeCell ref="J54:J55"/>
    <mergeCell ref="A1:G1"/>
    <mergeCell ref="A10:A11"/>
    <mergeCell ref="F10:I10"/>
    <mergeCell ref="A12:A13"/>
    <mergeCell ref="F13:F14"/>
    <mergeCell ref="F18:F20"/>
    <mergeCell ref="F21:F33"/>
    <mergeCell ref="F34:F46"/>
    <mergeCell ref="F47:F48"/>
    <mergeCell ref="F49:F55"/>
    <mergeCell ref="G49:I49"/>
  </mergeCells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490E-F5F6-4500-B7F1-A5A8431B484C}">
  <dimension ref="A1:S61"/>
  <sheetViews>
    <sheetView zoomScaleNormal="100" workbookViewId="0">
      <selection activeCell="G4" sqref="G4"/>
    </sheetView>
  </sheetViews>
  <sheetFormatPr defaultColWidth="8.6640625" defaultRowHeight="14.4"/>
  <cols>
    <col min="1" max="1" width="29" style="1" bestFit="1" customWidth="1"/>
    <col min="2" max="3" width="16" style="1" customWidth="1"/>
    <col min="4" max="4" width="16.88671875" style="1" customWidth="1"/>
    <col min="5" max="5" width="14.109375" style="1" customWidth="1"/>
    <col min="6" max="6" width="28.21875" style="1" customWidth="1"/>
    <col min="7" max="7" width="18.21875" style="1" customWidth="1"/>
    <col min="8" max="8" width="13.6640625" style="1" customWidth="1"/>
    <col min="9" max="9" width="10.88671875" style="1" customWidth="1"/>
    <col min="10" max="16384" width="8.6640625" style="1"/>
  </cols>
  <sheetData>
    <row r="1" spans="1:13">
      <c r="A1" s="13" t="s">
        <v>85</v>
      </c>
      <c r="B1" s="13"/>
      <c r="C1" s="13"/>
      <c r="D1" s="13"/>
      <c r="E1" s="13"/>
      <c r="F1" s="13"/>
      <c r="G1" s="13"/>
      <c r="H1" s="1" t="s">
        <v>98</v>
      </c>
      <c r="K1" s="1" t="s">
        <v>109</v>
      </c>
      <c r="M1" s="1" t="s">
        <v>120</v>
      </c>
    </row>
    <row r="2" spans="1:13">
      <c r="A2" s="5" t="s">
        <v>86</v>
      </c>
      <c r="B2" s="5" t="s">
        <v>88</v>
      </c>
      <c r="C2" s="5" t="s">
        <v>87</v>
      </c>
      <c r="D2" s="5" t="s">
        <v>90</v>
      </c>
      <c r="E2" s="5" t="s">
        <v>91</v>
      </c>
      <c r="F2" s="5" t="s">
        <v>92</v>
      </c>
      <c r="G2" s="5" t="s">
        <v>89</v>
      </c>
      <c r="K2" s="1">
        <f>H31*H33</f>
        <v>25528.2768</v>
      </c>
      <c r="M2" s="1">
        <f>2*M33^0.75*(2*M32^0.25+M32^0.75)*2</f>
        <v>23554.343675124488</v>
      </c>
    </row>
    <row r="3" spans="1:13">
      <c r="A3" s="5">
        <f>H16</f>
        <v>8.0239067368686232</v>
      </c>
      <c r="B3" s="5">
        <f>C11*SQRT(2)/(H17*0.000001*C19*1000)*SQRT(H15^3/6)</f>
        <v>5.389772294825721</v>
      </c>
      <c r="C3" s="8">
        <f>C11*SQRT(2)/(H17*0.000001*C19*1000)*SQRT(4*C15*H15^3/(9*PI())*(C11*SQRT(2))/C17)</f>
        <v>12.526899789634845</v>
      </c>
      <c r="D3" s="5">
        <v>5</v>
      </c>
      <c r="E3" s="6">
        <v>0.3</v>
      </c>
      <c r="F3" s="5">
        <v>0.3</v>
      </c>
      <c r="G3" s="7">
        <f>((H17*10^-6)*A3*2*(B3+(C3/H14))/(E3*(D3*10^6)*F3))*10^12</f>
        <v>28257.499319086353</v>
      </c>
      <c r="H3" s="1">
        <f>((H17*10^-6)*A3*(B3+(C3/H14))/(E3*(D3*10^6)*F3))*10^12</f>
        <v>14128.749659543177</v>
      </c>
    </row>
    <row r="4" spans="1:13">
      <c r="B4" s="1" t="s">
        <v>113</v>
      </c>
      <c r="C4" s="1" t="s">
        <v>114</v>
      </c>
      <c r="E4" s="1" t="s">
        <v>112</v>
      </c>
      <c r="G4" s="1">
        <f>2*G3^(0.75)*((H31/H33)^0.75+2*(H31/H33)^0.25+(H31/H33)^(-0.25))</f>
        <v>17143.857805059</v>
      </c>
      <c r="H4" s="1">
        <f>2*2*H3^(0.75)*((H31/H33)^0.75+2*(H31/H33)^0.25+(H31/H33)^(-0.25))</f>
        <v>20387.597680371124</v>
      </c>
      <c r="I4" s="1">
        <f>H6/H5</f>
        <v>0.44529015180162596</v>
      </c>
    </row>
    <row r="5" spans="1:13">
      <c r="A5" s="1" t="s">
        <v>115</v>
      </c>
      <c r="B5" s="1">
        <f>H17*0.000001*A3/(H41*E3)</f>
        <v>1.2308895820654716E-4</v>
      </c>
      <c r="C5" s="1">
        <f>(H41/(D3*1000000*F3)*(B3+C3/H14))</f>
        <v>1.1478486669644803E-4</v>
      </c>
      <c r="D5" s="1">
        <f>B5*C5*1000000000000</f>
        <v>14128.749659543178</v>
      </c>
      <c r="E5" s="1">
        <f>B5/C5</f>
        <v>1.0723448286267523</v>
      </c>
      <c r="F5" s="1" t="s">
        <v>117</v>
      </c>
      <c r="H5" s="1">
        <f>2*2*H3^(0.75)*((B5/C5)^0.75+2*(B5/C5)^0.25+(B5/C5)^(-0.25))</f>
        <v>21106.382941665575</v>
      </c>
      <c r="J5" s="1" t="s">
        <v>118</v>
      </c>
      <c r="K5" s="1">
        <f>2*2*D5^0.75*(2*E5^0.25+E5^0.75)</f>
        <v>16012.438856761382</v>
      </c>
    </row>
    <row r="6" spans="1:13">
      <c r="A6" s="1" t="s">
        <v>116</v>
      </c>
      <c r="B6" s="1">
        <f>H17*0.000001*A3/(H41*E3)</f>
        <v>1.2308895820654716E-4</v>
      </c>
      <c r="C6" s="1">
        <f>1/(D3*1000000*F3)*((H41+0.5*H35)*(B3+C3/H14))</f>
        <v>1.9130811116074674E-4</v>
      </c>
      <c r="D6" s="1">
        <f>B6*C6*1000000000000</f>
        <v>23547.916099238635</v>
      </c>
      <c r="E6" s="1">
        <f>B6/C6</f>
        <v>0.64340689717605126</v>
      </c>
      <c r="F6" s="1" t="s">
        <v>117</v>
      </c>
      <c r="H6" s="1">
        <f>2*H3^(0.75)*((B6/C6)^0.75+2*(B6/C6)^0.25+(B6/C6)^(-0.25))</f>
        <v>9398.4644640775132</v>
      </c>
      <c r="K6" s="1">
        <f>2*D6^0.75*(2*E6^0.25+E6^0.75)</f>
        <v>9541.2114003635816</v>
      </c>
    </row>
    <row r="7" spans="1:13">
      <c r="A7" s="1" t="s">
        <v>111</v>
      </c>
      <c r="H7" s="1">
        <f>H6/H5</f>
        <v>0.44529015180162596</v>
      </c>
      <c r="K7" s="1">
        <f>K6/K5</f>
        <v>0.59586247202653497</v>
      </c>
    </row>
    <row r="8" spans="1:13">
      <c r="A8" s="1" t="s">
        <v>0</v>
      </c>
      <c r="B8" s="1" t="s">
        <v>1</v>
      </c>
      <c r="C8" s="1" t="s">
        <v>2</v>
      </c>
      <c r="D8" s="1" t="s">
        <v>3</v>
      </c>
      <c r="F8" s="1" t="s">
        <v>28</v>
      </c>
      <c r="H8" s="1">
        <f>4*PI()*10^-7</f>
        <v>1.2566370614359173E-6</v>
      </c>
    </row>
    <row r="9" spans="1:13">
      <c r="A9" s="1" t="s">
        <v>4</v>
      </c>
    </row>
    <row r="10" spans="1:13">
      <c r="A10" s="12" t="s">
        <v>5</v>
      </c>
      <c r="B10" s="1" t="s">
        <v>6</v>
      </c>
      <c r="C10" s="1">
        <v>100</v>
      </c>
      <c r="D10" s="1" t="s">
        <v>7</v>
      </c>
      <c r="F10" s="12" t="s">
        <v>29</v>
      </c>
      <c r="G10" s="12"/>
      <c r="H10" s="12"/>
      <c r="I10" s="12"/>
      <c r="M10"/>
    </row>
    <row r="11" spans="1:13">
      <c r="A11" s="12"/>
      <c r="B11" s="1" t="s">
        <v>8</v>
      </c>
      <c r="C11" s="1">
        <v>240</v>
      </c>
      <c r="D11" s="9" t="s">
        <v>7</v>
      </c>
      <c r="G11" s="1" t="s">
        <v>1</v>
      </c>
      <c r="H11" s="1" t="s">
        <v>2</v>
      </c>
      <c r="I11" s="1" t="s">
        <v>3</v>
      </c>
      <c r="M11"/>
    </row>
    <row r="12" spans="1:13">
      <c r="A12" s="12" t="s">
        <v>9</v>
      </c>
      <c r="B12" s="1" t="s">
        <v>10</v>
      </c>
      <c r="C12" s="1">
        <v>50</v>
      </c>
      <c r="D12" s="1" t="s">
        <v>11</v>
      </c>
      <c r="F12" s="1" t="s">
        <v>30</v>
      </c>
      <c r="G12" s="1" t="s">
        <v>31</v>
      </c>
      <c r="H12" s="1">
        <v>800</v>
      </c>
      <c r="I12" s="1" t="s">
        <v>19</v>
      </c>
      <c r="M12"/>
    </row>
    <row r="13" spans="1:13">
      <c r="A13" s="12"/>
      <c r="B13" s="1" t="s">
        <v>12</v>
      </c>
      <c r="C13" s="1">
        <v>60</v>
      </c>
      <c r="D13" s="1" t="s">
        <v>11</v>
      </c>
      <c r="F13" s="14" t="s">
        <v>32</v>
      </c>
      <c r="G13" s="1" t="s">
        <v>33</v>
      </c>
      <c r="H13" s="1">
        <f>(H12-SQRT(2)*C11-150-100)/C17</f>
        <v>4.3872655214678575</v>
      </c>
      <c r="J13" s="1" t="s">
        <v>35</v>
      </c>
      <c r="M13"/>
    </row>
    <row r="14" spans="1:13">
      <c r="A14" s="1" t="s">
        <v>13</v>
      </c>
      <c r="B14" s="1" t="s">
        <v>14</v>
      </c>
      <c r="C14" s="1">
        <v>0.99</v>
      </c>
      <c r="F14" s="11"/>
      <c r="G14" s="2" t="s">
        <v>34</v>
      </c>
      <c r="H14" s="3">
        <v>3</v>
      </c>
      <c r="M14"/>
    </row>
    <row r="15" spans="1:13">
      <c r="A15" s="1" t="s">
        <v>15</v>
      </c>
      <c r="C15" s="1">
        <v>0.9</v>
      </c>
      <c r="F15" s="1" t="s">
        <v>36</v>
      </c>
      <c r="G15" s="1" t="s">
        <v>37</v>
      </c>
      <c r="H15" s="1">
        <v>0.47</v>
      </c>
      <c r="M15"/>
    </row>
    <row r="16" spans="1:13">
      <c r="A16" s="1" t="s">
        <v>16</v>
      </c>
      <c r="F16" s="1" t="s">
        <v>38</v>
      </c>
      <c r="G16" s="1" t="s">
        <v>39</v>
      </c>
      <c r="H16" s="1">
        <f>2*SQRT(2)*(C18/2)/(C10*H15*C15)</f>
        <v>8.0239067368686232</v>
      </c>
      <c r="I16" s="1" t="s">
        <v>40</v>
      </c>
      <c r="M16"/>
    </row>
    <row r="17" spans="1:13">
      <c r="A17" s="1" t="s">
        <v>17</v>
      </c>
      <c r="B17" s="1" t="s">
        <v>18</v>
      </c>
      <c r="C17" s="1">
        <v>48</v>
      </c>
      <c r="D17" s="1" t="s">
        <v>19</v>
      </c>
      <c r="F17" s="2" t="s">
        <v>41</v>
      </c>
      <c r="G17" s="3" t="s">
        <v>42</v>
      </c>
      <c r="H17" s="3">
        <f>SQRT(2)*C10*H15/(H16*C19*1000)*10^6</f>
        <v>82.837500000000006</v>
      </c>
      <c r="I17" s="3" t="s">
        <v>43</v>
      </c>
      <c r="M17"/>
    </row>
    <row r="18" spans="1:13" ht="14.55" customHeight="1">
      <c r="A18" s="1" t="s">
        <v>20</v>
      </c>
      <c r="B18" s="1" t="s">
        <v>21</v>
      </c>
      <c r="C18" s="1">
        <v>240</v>
      </c>
      <c r="D18" s="1" t="s">
        <v>22</v>
      </c>
      <c r="F18" s="15" t="s">
        <v>93</v>
      </c>
      <c r="G18" s="1" t="s">
        <v>53</v>
      </c>
      <c r="H18" s="1">
        <v>2500</v>
      </c>
      <c r="M18"/>
    </row>
    <row r="19" spans="1:13">
      <c r="A19" s="1" t="s">
        <v>23</v>
      </c>
      <c r="B19" s="1" t="s">
        <v>24</v>
      </c>
      <c r="C19" s="1">
        <v>100</v>
      </c>
      <c r="D19" s="1" t="s">
        <v>25</v>
      </c>
      <c r="F19" s="12"/>
      <c r="G19" s="1" t="s">
        <v>54</v>
      </c>
      <c r="H19" s="1">
        <v>470</v>
      </c>
      <c r="I19" s="1" t="s">
        <v>57</v>
      </c>
      <c r="M19"/>
    </row>
    <row r="20" spans="1:13">
      <c r="A20" s="1" t="s">
        <v>26</v>
      </c>
      <c r="B20" s="1" t="s">
        <v>27</v>
      </c>
      <c r="C20" s="1">
        <v>8</v>
      </c>
      <c r="D20" s="1" t="s">
        <v>19</v>
      </c>
      <c r="F20" s="12"/>
      <c r="G20" s="1" t="s">
        <v>55</v>
      </c>
      <c r="H20" s="1">
        <v>160</v>
      </c>
      <c r="I20" s="1" t="s">
        <v>57</v>
      </c>
      <c r="M20"/>
    </row>
    <row r="21" spans="1:13" ht="18" customHeight="1">
      <c r="F21" s="15" t="s">
        <v>97</v>
      </c>
      <c r="G21" s="1" t="s">
        <v>58</v>
      </c>
      <c r="H21" s="1">
        <v>16.600000000000001</v>
      </c>
      <c r="I21" s="1" t="s">
        <v>56</v>
      </c>
      <c r="J21" s="1" t="s">
        <v>99</v>
      </c>
      <c r="K21" s="1">
        <v>40.6</v>
      </c>
      <c r="M21"/>
    </row>
    <row r="22" spans="1:13">
      <c r="F22" s="15"/>
      <c r="G22" s="1" t="s">
        <v>59</v>
      </c>
      <c r="H22" s="1">
        <v>12.4</v>
      </c>
      <c r="I22" s="1" t="s">
        <v>56</v>
      </c>
      <c r="J22" s="1" t="s">
        <v>100</v>
      </c>
      <c r="K22" s="1">
        <v>16.600000000000001</v>
      </c>
    </row>
    <row r="23" spans="1:13">
      <c r="F23" s="15"/>
      <c r="G23" s="1" t="s">
        <v>60</v>
      </c>
      <c r="H23" s="1">
        <v>10.4</v>
      </c>
      <c r="I23" s="1" t="s">
        <v>56</v>
      </c>
      <c r="J23" s="1" t="s">
        <v>101</v>
      </c>
      <c r="K23" s="1">
        <v>12.4</v>
      </c>
    </row>
    <row r="24" spans="1:13">
      <c r="F24" s="15"/>
      <c r="G24" s="1" t="s">
        <v>61</v>
      </c>
      <c r="H24" s="1">
        <v>28.6</v>
      </c>
      <c r="I24" s="1" t="s">
        <v>56</v>
      </c>
      <c r="J24" s="1" t="s">
        <v>102</v>
      </c>
      <c r="K24" s="1">
        <v>10.4</v>
      </c>
    </row>
    <row r="25" spans="1:13">
      <c r="F25" s="15"/>
      <c r="G25" s="1" t="s">
        <v>62</v>
      </c>
      <c r="H25" s="1">
        <v>12.45</v>
      </c>
      <c r="I25" s="1" t="s">
        <v>56</v>
      </c>
      <c r="J25" s="1" t="s">
        <v>103</v>
      </c>
      <c r="K25" s="1">
        <v>28.6</v>
      </c>
    </row>
    <row r="26" spans="1:13">
      <c r="F26" s="15"/>
      <c r="G26" s="1" t="s">
        <v>94</v>
      </c>
      <c r="H26" s="1">
        <v>6.33</v>
      </c>
      <c r="I26" s="1" t="s">
        <v>56</v>
      </c>
      <c r="J26" s="1" t="s">
        <v>104</v>
      </c>
      <c r="K26" s="1">
        <v>12.45</v>
      </c>
    </row>
    <row r="27" spans="1:13">
      <c r="F27" s="15"/>
      <c r="G27" s="1" t="s">
        <v>95</v>
      </c>
      <c r="H27" s="1">
        <v>7.95</v>
      </c>
      <c r="I27" s="1" t="s">
        <v>56</v>
      </c>
    </row>
    <row r="28" spans="1:13">
      <c r="F28" s="15"/>
      <c r="G28" s="1" t="s">
        <v>63</v>
      </c>
      <c r="H28" s="1">
        <f>K29</f>
        <v>61.600000000000009</v>
      </c>
      <c r="I28" s="1" t="s">
        <v>56</v>
      </c>
    </row>
    <row r="29" spans="1:13">
      <c r="F29" s="15"/>
      <c r="G29" s="1" t="s">
        <v>64</v>
      </c>
      <c r="H29" s="1">
        <f>(H23+(H21-H23)/2)*2</f>
        <v>27</v>
      </c>
      <c r="I29" s="1" t="s">
        <v>56</v>
      </c>
      <c r="K29" s="1">
        <f>(K24+(K22-K24)/2+(K21-K25)/4+(K25-K26)/2+K26/2)*2</f>
        <v>61.600000000000009</v>
      </c>
    </row>
    <row r="30" spans="1:13">
      <c r="F30" s="15"/>
      <c r="G30" s="1" t="s">
        <v>65</v>
      </c>
      <c r="H30" s="1">
        <f>H22*H26</f>
        <v>78.492000000000004</v>
      </c>
      <c r="I30" s="1" t="s">
        <v>68</v>
      </c>
      <c r="K30" s="1">
        <f>(K24+(K22-K24)/2)*2</f>
        <v>27</v>
      </c>
    </row>
    <row r="31" spans="1:13">
      <c r="F31" s="15"/>
      <c r="G31" s="1" t="s">
        <v>66</v>
      </c>
      <c r="H31" s="1">
        <f>H22*H25</f>
        <v>154.38</v>
      </c>
      <c r="I31" s="1" t="s">
        <v>68</v>
      </c>
    </row>
    <row r="32" spans="1:13">
      <c r="F32" s="15"/>
      <c r="G32" s="1" t="s">
        <v>69</v>
      </c>
      <c r="H32" s="1">
        <f>H31</f>
        <v>154.38</v>
      </c>
      <c r="I32" s="1" t="s">
        <v>68</v>
      </c>
      <c r="L32" s="1" t="s">
        <v>112</v>
      </c>
      <c r="M32" s="1">
        <f>H32/H33</f>
        <v>0.93359941944847591</v>
      </c>
    </row>
    <row r="33" spans="6:19">
      <c r="F33" s="15"/>
      <c r="G33" s="1" t="s">
        <v>67</v>
      </c>
      <c r="H33" s="1">
        <f>H27*H23*2</f>
        <v>165.36</v>
      </c>
      <c r="I33" s="1" t="s">
        <v>68</v>
      </c>
      <c r="K33" s="1">
        <f>H46/H33</f>
        <v>0.30737333789283533</v>
      </c>
      <c r="L33" s="1" t="s">
        <v>119</v>
      </c>
      <c r="M33" s="1">
        <f>H33*H32</f>
        <v>25528.2768</v>
      </c>
    </row>
    <row r="34" spans="6:19">
      <c r="F34" s="16" t="s">
        <v>70</v>
      </c>
      <c r="G34" s="1" t="s">
        <v>44</v>
      </c>
      <c r="J34" s="1">
        <f>(K26-K27)/2*2*K25</f>
        <v>356.07</v>
      </c>
    </row>
    <row r="35" spans="6:19">
      <c r="F35" s="16"/>
      <c r="G35" s="2" t="s">
        <v>45</v>
      </c>
      <c r="H35" s="3">
        <f>H14*H38</f>
        <v>24</v>
      </c>
      <c r="J35" s="1" t="s">
        <v>73</v>
      </c>
    </row>
    <row r="36" spans="6:19">
      <c r="F36" s="16"/>
      <c r="G36" s="1" t="s">
        <v>46</v>
      </c>
      <c r="H36" s="1">
        <v>1</v>
      </c>
      <c r="I36" s="1" t="s">
        <v>56</v>
      </c>
    </row>
    <row r="37" spans="6:19">
      <c r="F37" s="16"/>
      <c r="G37" s="1" t="s">
        <v>48</v>
      </c>
      <c r="H37" s="1">
        <f>H17*(10^-6)*H16/(H14*H30*(10^-6)*(H19-H20)*0.001*0.9)</f>
        <v>10.117238839754137</v>
      </c>
      <c r="J37" s="1" t="s">
        <v>72</v>
      </c>
    </row>
    <row r="38" spans="6:19">
      <c r="F38" s="16"/>
      <c r="G38" s="2" t="s">
        <v>49</v>
      </c>
      <c r="H38" s="3">
        <v>8</v>
      </c>
      <c r="J38" s="1" t="s">
        <v>73</v>
      </c>
    </row>
    <row r="39" spans="6:19">
      <c r="F39" s="16"/>
      <c r="G39" s="1" t="s">
        <v>46</v>
      </c>
      <c r="H39" s="1">
        <v>1.6</v>
      </c>
      <c r="I39" s="1" t="s">
        <v>56</v>
      </c>
    </row>
    <row r="40" spans="6:19">
      <c r="F40" s="16"/>
      <c r="G40" s="1" t="s">
        <v>47</v>
      </c>
      <c r="J40" s="1" t="s">
        <v>72</v>
      </c>
      <c r="S40" s="1" t="s">
        <v>96</v>
      </c>
    </row>
    <row r="41" spans="6:19">
      <c r="F41" s="16"/>
      <c r="G41" s="2" t="s">
        <v>50</v>
      </c>
      <c r="H41" s="3">
        <v>18</v>
      </c>
    </row>
    <row r="42" spans="6:19">
      <c r="F42" s="16"/>
      <c r="G42" s="1" t="s">
        <v>46</v>
      </c>
      <c r="H42" s="1">
        <v>1</v>
      </c>
      <c r="I42" s="1" t="s">
        <v>56</v>
      </c>
    </row>
    <row r="43" spans="6:19">
      <c r="F43" s="16"/>
      <c r="G43" s="1" t="s">
        <v>51</v>
      </c>
      <c r="H43" s="1">
        <f>H17*(10^-6)*H16/(H14*H32*(10^-6)*(H19-H20)*0.001*0.9)</f>
        <v>5.1439455305737889</v>
      </c>
      <c r="J43" s="1" t="s">
        <v>72</v>
      </c>
    </row>
    <row r="44" spans="6:19">
      <c r="F44" s="16"/>
      <c r="G44" s="2" t="s">
        <v>52</v>
      </c>
      <c r="H44" s="3">
        <v>6</v>
      </c>
    </row>
    <row r="45" spans="6:19">
      <c r="F45" s="16"/>
      <c r="G45" s="1" t="s">
        <v>46</v>
      </c>
      <c r="H45" s="1">
        <v>1.6</v>
      </c>
      <c r="I45" s="1" t="s">
        <v>56</v>
      </c>
    </row>
    <row r="46" spans="6:19">
      <c r="F46" s="16"/>
      <c r="G46" s="1" t="s">
        <v>71</v>
      </c>
      <c r="H46" s="1">
        <f>0.25*PI()*0.5*(H35*H36*H36+H38*H39*H39)+H41*H42*H42+H44*H45*H45</f>
        <v>50.827255153959257</v>
      </c>
      <c r="I46" s="1" t="s">
        <v>68</v>
      </c>
    </row>
    <row r="47" spans="6:19">
      <c r="F47" s="12" t="s">
        <v>74</v>
      </c>
      <c r="G47" s="1" t="s">
        <v>75</v>
      </c>
      <c r="H47" s="1">
        <f>H35*H35/(2*H17*10^-6)</f>
        <v>3476686.2833861476</v>
      </c>
      <c r="I47" s="1" t="s">
        <v>77</v>
      </c>
    </row>
    <row r="48" spans="6:19">
      <c r="F48" s="12"/>
      <c r="G48" s="1" t="s">
        <v>76</v>
      </c>
      <c r="H48" s="1">
        <f>(2*H41-H35)*(2*H41+H35)/(4*H17*10^-6)</f>
        <v>2172928.9271163424</v>
      </c>
      <c r="I48" s="1" t="s">
        <v>77</v>
      </c>
    </row>
    <row r="49" spans="6:10">
      <c r="F49" s="12" t="s">
        <v>78</v>
      </c>
      <c r="G49" s="12" t="s">
        <v>79</v>
      </c>
      <c r="H49" s="12"/>
      <c r="I49" s="12"/>
    </row>
    <row r="50" spans="6:10">
      <c r="F50" s="12"/>
      <c r="G50" s="2" t="s">
        <v>80</v>
      </c>
      <c r="H50" s="3">
        <f>((1/(H18-1))*(H8*(H18*H30*(10^-6)*H47-H31*(10^-6)*H48)+(H29*(10^-3)/H18)-H28*(10^-3)))*1000</f>
        <v>0.31824927680837195</v>
      </c>
      <c r="I50" s="3" t="s">
        <v>56</v>
      </c>
      <c r="J50" s="11"/>
    </row>
    <row r="51" spans="6:10">
      <c r="F51" s="12"/>
      <c r="G51" s="3" t="s">
        <v>81</v>
      </c>
      <c r="H51" s="3">
        <f>(H8*H31*(10^-6)*H48-H29*(10^-3)/H18)*1000</f>
        <v>0.41074740688704814</v>
      </c>
      <c r="I51" s="3" t="s">
        <v>56</v>
      </c>
      <c r="J51" s="11"/>
    </row>
    <row r="52" spans="6:10">
      <c r="F52" s="12"/>
      <c r="G52"/>
      <c r="H52"/>
      <c r="I52"/>
    </row>
    <row r="53" spans="6:10">
      <c r="F53" s="12"/>
      <c r="G53" s="12" t="s">
        <v>82</v>
      </c>
      <c r="H53" s="12"/>
      <c r="I53" s="12"/>
    </row>
    <row r="54" spans="6:10">
      <c r="F54" s="12"/>
      <c r="G54" s="4" t="s">
        <v>83</v>
      </c>
      <c r="H54" s="4">
        <f>(H8*(H30*10^-6)*H47-(H28*10^-3/H18))*1000</f>
        <v>0.31828627606040349</v>
      </c>
      <c r="I54" s="4" t="s">
        <v>56</v>
      </c>
      <c r="J54" s="12"/>
    </row>
    <row r="55" spans="6:10">
      <c r="F55" s="12"/>
      <c r="G55" s="4" t="s">
        <v>84</v>
      </c>
      <c r="H55" s="4">
        <f>((1/(H18-1))*(H8*(H18*H31*(10^-6)*H48-H30*(10^-6)*H47)+(H28*(10^-3)/H18)-H29*(10^-3)))*1000</f>
        <v>0.41078440613907952</v>
      </c>
      <c r="I55" s="4" t="s">
        <v>56</v>
      </c>
      <c r="J55" s="12"/>
    </row>
    <row r="56" spans="6:10">
      <c r="F56"/>
    </row>
    <row r="57" spans="6:10">
      <c r="F57"/>
    </row>
    <row r="58" spans="6:10">
      <c r="F58"/>
    </row>
    <row r="59" spans="6:10">
      <c r="F59"/>
    </row>
    <row r="60" spans="6:10">
      <c r="F60"/>
    </row>
    <row r="61" spans="6:10">
      <c r="F61"/>
    </row>
  </sheetData>
  <mergeCells count="14">
    <mergeCell ref="J50:J51"/>
    <mergeCell ref="G53:I53"/>
    <mergeCell ref="J54:J55"/>
    <mergeCell ref="A1:G1"/>
    <mergeCell ref="A10:A11"/>
    <mergeCell ref="F10:I10"/>
    <mergeCell ref="A12:A13"/>
    <mergeCell ref="F13:F14"/>
    <mergeCell ref="F18:F20"/>
    <mergeCell ref="F21:F33"/>
    <mergeCell ref="F34:F46"/>
    <mergeCell ref="F47:F48"/>
    <mergeCell ref="F49:F55"/>
    <mergeCell ref="G49:I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Conventional</vt:lpstr>
      <vt:lpstr>設計例2</vt:lpstr>
      <vt:lpstr>conventional22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平沢 開</dc:creator>
  <cp:lastModifiedBy>ROQUE Karl Raymond Dela Cruz</cp:lastModifiedBy>
  <dcterms:created xsi:type="dcterms:W3CDTF">2022-08-29T07:22:36Z</dcterms:created>
  <dcterms:modified xsi:type="dcterms:W3CDTF">2026-02-02T03:01:47Z</dcterms:modified>
</cp:coreProperties>
</file>